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CR_Rules" sheetId="1" state="visible" r:id="rId3"/>
    <sheet name="Portfolio_EC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<sst xmlns="http://schemas.openxmlformats.org/spreadsheetml/2006/main" count="106" uniqueCount="88">
  <si>
    <t xml:space="preserve">IFRS 9 Stage Classification — SICR Rules Engine</t>
  </si>
  <si>
    <t xml:space="preserve">SICR CONFIGURATION</t>
  </si>
  <si>
    <t xml:space="preserve">Notch downgrade threshold</t>
  </si>
  <si>
    <t xml:space="preserve">Notches from origination to trigger SICR</t>
  </si>
  <si>
    <t xml:space="preserve">PD relative threshold</t>
  </si>
  <si>
    <t xml:space="preserve">Current PD / Origination PD must exceed this</t>
  </si>
  <si>
    <t xml:space="preserve">PD absolute threshold (bps)</t>
  </si>
  <si>
    <t xml:space="preserve">AND absolute PD change must exceed this (bps)</t>
  </si>
  <si>
    <t xml:space="preserve">DPD Stage 2 backstop</t>
  </si>
  <si>
    <t xml:space="preserve">IFRS 9 §5.5.11 rebuttable presumption</t>
  </si>
  <si>
    <t xml:space="preserve">DPD Stage 3 backstop</t>
  </si>
  <si>
    <t xml:space="preserve">CRR Article 178 default definition</t>
  </si>
  <si>
    <t xml:space="preserve">STAGING WATERFALL</t>
  </si>
  <si>
    <t xml:space="preserve">Check</t>
  </si>
  <si>
    <t xml:space="preserve">Trigger</t>
  </si>
  <si>
    <t xml:space="preserve">Result</t>
  </si>
  <si>
    <t xml:space="preserve">Reference</t>
  </si>
  <si>
    <t xml:space="preserve">1. Stage 3: DPD &gt;= 90</t>
  </si>
  <si>
    <t xml:space="preserve">Days past due &gt;= 90</t>
  </si>
  <si>
    <t xml:space="preserve">Stage 3</t>
  </si>
  <si>
    <t xml:space="preserve">CRR Art. 178</t>
  </si>
  <si>
    <t xml:space="preserve">2. Stage 3: Rating = D</t>
  </si>
  <si>
    <t xml:space="preserve">Current rating is D</t>
  </si>
  <si>
    <t xml:space="preserve">IFRS 9 Appendix A</t>
  </si>
  <si>
    <t xml:space="preserve">3. Stage 3: Qualitative</t>
  </si>
  <si>
    <t xml:space="preserve">Bankruptcy, distressed restructuring, fraud, unlikely to pay</t>
  </si>
  <si>
    <t xml:space="preserve">4. Stage 2: Rating migration</t>
  </si>
  <si>
    <t xml:space="preserve">Downgrade &gt;= N notches from origination</t>
  </si>
  <si>
    <t xml:space="preserve">Stage 2</t>
  </si>
  <si>
    <t xml:space="preserve">Bank policy / EBA GL/2017/06</t>
  </si>
  <si>
    <t xml:space="preserve">5. Stage 2: PD test</t>
  </si>
  <si>
    <t xml:space="preserve">PD doubled AND absolute change &gt;= threshold</t>
  </si>
  <si>
    <t xml:space="preserve">IFRS 9 B5.5.17-18</t>
  </si>
  <si>
    <t xml:space="preserve">6. Stage 2: DPD 30+</t>
  </si>
  <si>
    <t xml:space="preserve">Days past due &gt;= 30</t>
  </si>
  <si>
    <t xml:space="preserve">IFRS 9 §5.5.11</t>
  </si>
  <si>
    <t xml:space="preserve">7. Stage 2: Qualitative</t>
  </si>
  <si>
    <t xml:space="preserve">Watchlist, forbearance, covenant breach, sector stress</t>
  </si>
  <si>
    <t xml:space="preserve">EBA GL/2017/06</t>
  </si>
  <si>
    <t xml:space="preserve">8. Default: Stage 1</t>
  </si>
  <si>
    <t xml:space="preserve">No triggers fired</t>
  </si>
  <si>
    <t xml:space="preserve">Stage 1</t>
  </si>
  <si>
    <t xml:space="preserve">IFRS 9 §5.5.5</t>
  </si>
  <si>
    <t xml:space="preserve">IFRS 9 — Portfolio ECL with Stage Classification</t>
  </si>
  <si>
    <t xml:space="preserve">Loan Name</t>
  </si>
  <si>
    <t xml:space="preserve">Principal (€)</t>
  </si>
  <si>
    <t xml:space="preserve">Orig Rating</t>
  </si>
  <si>
    <t xml:space="preserve">Curr Rating</t>
  </si>
  <si>
    <t xml:space="preserve">DPD</t>
  </si>
  <si>
    <t xml:space="preserve">Flags</t>
  </si>
  <si>
    <t xml:space="preserve">Stage</t>
  </si>
  <si>
    <t xml:space="preserve">12m ECL (€)</t>
  </si>
  <si>
    <t xml:space="preserve">Lifetime ECL (€)</t>
  </si>
  <si>
    <t xml:space="preserve">Applied ECL (€)</t>
  </si>
  <si>
    <t xml:space="preserve">Coverage (bps)</t>
  </si>
  <si>
    <t xml:space="preserve">AlphaIndustries SA</t>
  </si>
  <si>
    <t xml:space="preserve">BBB</t>
  </si>
  <si>
    <t xml:space="preserve">S1</t>
  </si>
  <si>
    <t xml:space="preserve">BetaLogistics GmbH</t>
  </si>
  <si>
    <t xml:space="preserve">A</t>
  </si>
  <si>
    <t xml:space="preserve">A-</t>
  </si>
  <si>
    <t xml:space="preserve">GammaRetail SAS</t>
  </si>
  <si>
    <t xml:space="preserve">BB-</t>
  </si>
  <si>
    <t xml:space="preserve">S2</t>
  </si>
  <si>
    <t xml:space="preserve">DeltaConstruction SpA</t>
  </si>
  <si>
    <t xml:space="preserve">BB</t>
  </si>
  <si>
    <t xml:space="preserve">30+ DPD</t>
  </si>
  <si>
    <t xml:space="preserve">EpsilonEnergy BV</t>
  </si>
  <si>
    <t xml:space="preserve">BBB+</t>
  </si>
  <si>
    <t xml:space="preserve">BBB-</t>
  </si>
  <si>
    <t xml:space="preserve">Watchlist</t>
  </si>
  <si>
    <t xml:space="preserve">ZetaServices SARL</t>
  </si>
  <si>
    <t xml:space="preserve">CCC/C</t>
  </si>
  <si>
    <t xml:space="preserve">90+ DPD</t>
  </si>
  <si>
    <t xml:space="preserve">S3</t>
  </si>
  <si>
    <t xml:space="preserve">EtaHoldings AG</t>
  </si>
  <si>
    <t xml:space="preserve">BB+</t>
  </si>
  <si>
    <t xml:space="preserve">B-</t>
  </si>
  <si>
    <t xml:space="preserve">Distr. restr.</t>
  </si>
  <si>
    <t xml:space="preserve">SUMMARY BY STAGE</t>
  </si>
  <si>
    <t xml:space="preserve">Count</t>
  </si>
  <si>
    <t xml:space="preserve">EAD (€)</t>
  </si>
  <si>
    <t xml:space="preserve">ECL (€)</t>
  </si>
  <si>
    <t xml:space="preserve">Coverage (%)</t>
  </si>
  <si>
    <t xml:space="preserve">Share of ECL</t>
  </si>
  <si>
    <t xml:space="preserve">Total</t>
  </si>
  <si>
    <t xml:space="preserve">Key insight: Stage 3 is 17.6% of EAD but 79.1% of ECL — this concentration is typical</t>
  </si>
  <si>
    <t xml:space="preserve">of European corporate portfolios and is a key metric in ACPR/ECB supervisory reviews.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</si>
</sst>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€#,##0"/>
    <numFmt numFmtId="166" formatCode="\€#,##0.00"/>
    <numFmt numFmtId="167" formatCode="0.0"/>
    <numFmt numFmtId="168" formatCode="0.000\%"/>
    <numFmt numFmtId="169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48235"/>
        <bgColor rgb="FF666666"/>
      </patternFill>
    </fill>
    <fill>
      <patternFill patternType="solid">
        <fgColor rgb="FF4472C4"/>
        <bgColor rgb="FF666666"/>
      </patternFill>
    </fill>
    <fill>
      <patternFill patternType="solid">
        <fgColor rgb="FFFDE0D0"/>
        <bgColor rgb="FFFCE4D6"/>
      </patternFill>
    </fill>
    <fill>
      <patternFill patternType="solid">
        <fgColor rgb="FFFCE4D6"/>
        <bgColor rgb="FFFDE0D0"/>
      </patternFill>
    </fill>
    <fill>
      <patternFill patternType="solid">
        <fgColor rgb="FFE2EFDA"/>
        <bgColor rgb="FFFCE4D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DE0D0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5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</row>
    <row r="4" customFormat="false" ht="15" hidden="false" customHeight="false" outlineLevel="0" collapsed="false">
      <c r="A4" s="4" t="s">
        <v>2</v>
      </c>
      <c r="B4" s="5" t="n">
        <v>2</v>
      </c>
      <c r="C4" s="6" t="s">
        <v>3</v>
      </c>
    </row>
    <row r="5" customFormat="false" ht="15" hidden="false" customHeight="false" outlineLevel="0" collapsed="false">
      <c r="A5" s="4" t="s">
        <v>4</v>
      </c>
      <c r="B5" s="5" t="n">
        <v>2</v>
      </c>
      <c r="C5" s="6" t="s">
        <v>5</v>
      </c>
    </row>
    <row r="6" customFormat="false" ht="15" hidden="false" customHeight="false" outlineLevel="0" collapsed="false">
      <c r="A6" s="4" t="s">
        <v>6</v>
      </c>
      <c r="B6" s="5" t="n">
        <v>50</v>
      </c>
      <c r="C6" s="6" t="s">
        <v>7</v>
      </c>
    </row>
    <row r="7" customFormat="false" ht="15" hidden="false" customHeight="false" outlineLevel="0" collapsed="false">
      <c r="A7" s="4" t="s">
        <v>8</v>
      </c>
      <c r="B7" s="5" t="n">
        <v>30</v>
      </c>
      <c r="C7" s="6" t="s">
        <v>9</v>
      </c>
    </row>
    <row r="8" customFormat="false" ht="15" hidden="false" customHeight="false" outlineLevel="0" collapsed="false">
      <c r="A8" s="4" t="s">
        <v>10</v>
      </c>
      <c r="B8" s="5" t="n">
        <v>90</v>
      </c>
      <c r="C8" s="6" t="s">
        <v>11</v>
      </c>
    </row>
    <row r="10" customFormat="false" ht="15" hidden="false" customHeight="false" outlineLevel="0" collapsed="false">
      <c r="A10" s="7" t="s">
        <v>12</v>
      </c>
      <c r="B10" s="8"/>
      <c r="C10" s="8"/>
      <c r="D10" s="8"/>
    </row>
    <row r="11" customFormat="false" ht="15" hidden="false" customHeight="false" outlineLevel="0" collapsed="false">
      <c r="A11" s="9" t="s">
        <v>13</v>
      </c>
      <c r="B11" s="9" t="s">
        <v>14</v>
      </c>
      <c r="C11" s="9" t="s">
        <v>15</v>
      </c>
      <c r="D11" s="9" t="s">
        <v>16</v>
      </c>
    </row>
    <row r="12" customFormat="false" ht="15" hidden="false" customHeight="false" outlineLevel="0" collapsed="false">
      <c r="A12" s="4" t="s">
        <v>17</v>
      </c>
      <c r="B12" s="4" t="s">
        <v>18</v>
      </c>
      <c r="C12" s="10" t="s">
        <v>19</v>
      </c>
      <c r="D12" s="4" t="s">
        <v>20</v>
      </c>
    </row>
    <row r="13" customFormat="false" ht="15" hidden="false" customHeight="false" outlineLevel="0" collapsed="false">
      <c r="A13" s="4" t="s">
        <v>21</v>
      </c>
      <c r="B13" s="4" t="s">
        <v>22</v>
      </c>
      <c r="C13" s="10" t="s">
        <v>19</v>
      </c>
      <c r="D13" s="4" t="s">
        <v>23</v>
      </c>
    </row>
    <row r="14" customFormat="false" ht="15" hidden="false" customHeight="false" outlineLevel="0" collapsed="false">
      <c r="A14" s="4" t="s">
        <v>24</v>
      </c>
      <c r="B14" s="4" t="s">
        <v>25</v>
      </c>
      <c r="C14" s="10" t="s">
        <v>19</v>
      </c>
      <c r="D14" s="4" t="s">
        <v>23</v>
      </c>
    </row>
    <row r="15" customFormat="false" ht="15" hidden="false" customHeight="false" outlineLevel="0" collapsed="false">
      <c r="A15" s="4" t="s">
        <v>26</v>
      </c>
      <c r="B15" s="4" t="s">
        <v>27</v>
      </c>
      <c r="C15" s="11" t="s">
        <v>28</v>
      </c>
      <c r="D15" s="4" t="s">
        <v>29</v>
      </c>
    </row>
    <row r="16" customFormat="false" ht="15" hidden="false" customHeight="false" outlineLevel="0" collapsed="false">
      <c r="A16" s="4" t="s">
        <v>30</v>
      </c>
      <c r="B16" s="4" t="s">
        <v>31</v>
      </c>
      <c r="C16" s="11" t="s">
        <v>28</v>
      </c>
      <c r="D16" s="4" t="s">
        <v>32</v>
      </c>
    </row>
    <row r="17" customFormat="false" ht="15" hidden="false" customHeight="false" outlineLevel="0" collapsed="false">
      <c r="A17" s="4" t="s">
        <v>33</v>
      </c>
      <c r="B17" s="4" t="s">
        <v>34</v>
      </c>
      <c r="C17" s="11" t="s">
        <v>28</v>
      </c>
      <c r="D17" s="4" t="s">
        <v>35</v>
      </c>
    </row>
    <row r="18" customFormat="false" ht="15" hidden="false" customHeight="false" outlineLevel="0" collapsed="false">
      <c r="A18" s="4" t="s">
        <v>36</v>
      </c>
      <c r="B18" s="4" t="s">
        <v>37</v>
      </c>
      <c r="C18" s="11" t="s">
        <v>28</v>
      </c>
      <c r="D18" s="4" t="s">
        <v>38</v>
      </c>
    </row>
    <row r="19" customFormat="false" ht="15" hidden="false" customHeight="false" outlineLevel="0" collapsed="false">
      <c r="A19" s="4" t="s">
        <v>39</v>
      </c>
      <c r="B19" s="4" t="s">
        <v>40</v>
      </c>
      <c r="C19" s="12" t="s">
        <v>41</v>
      </c>
      <c r="D19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6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10" min="8" style="0" width="14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43</v>
      </c>
    </row>
    <row r="3" customFormat="false" ht="15" hidden="false" customHeight="false" outlineLevel="0" collapsed="false">
      <c r="A3" s="7" t="s">
        <v>44</v>
      </c>
      <c r="B3" s="7" t="s">
        <v>45</v>
      </c>
      <c r="C3" s="7" t="s">
        <v>46</v>
      </c>
      <c r="D3" s="7" t="s">
        <v>47</v>
      </c>
      <c r="E3" s="7" t="s">
        <v>48</v>
      </c>
      <c r="F3" s="7" t="s">
        <v>49</v>
      </c>
      <c r="G3" s="7" t="s">
        <v>50</v>
      </c>
      <c r="H3" s="7" t="s">
        <v>51</v>
      </c>
      <c r="I3" s="7" t="s">
        <v>52</v>
      </c>
      <c r="J3" s="7" t="s">
        <v>53</v>
      </c>
      <c r="K3" s="7" t="s">
        <v>54</v>
      </c>
    </row>
    <row r="4" customFormat="false" ht="15" hidden="false" customHeight="false" outlineLevel="0" collapsed="false">
      <c r="A4" s="4" t="s">
        <v>55</v>
      </c>
      <c r="B4" s="13" t="n">
        <v>2000000</v>
      </c>
      <c r="C4" s="4" t="s">
        <v>56</v>
      </c>
      <c r="D4" s="4" t="s">
        <v>56</v>
      </c>
      <c r="E4" s="4" t="n">
        <v>0</v>
      </c>
      <c r="F4" s="4"/>
      <c r="G4" s="14" t="s">
        <v>57</v>
      </c>
      <c r="H4" s="15" t="n">
        <v>434.78</v>
      </c>
      <c r="I4" s="15" t="n">
        <v>4483.63</v>
      </c>
      <c r="J4" s="15" t="n">
        <v>434.78</v>
      </c>
      <c r="K4" s="16" t="n">
        <f aca="false">J4/B4*10000</f>
        <v>2.1739</v>
      </c>
    </row>
    <row r="5" customFormat="false" ht="15" hidden="false" customHeight="false" outlineLevel="0" collapsed="false">
      <c r="A5" s="4" t="s">
        <v>58</v>
      </c>
      <c r="B5" s="13" t="n">
        <v>3000000</v>
      </c>
      <c r="C5" s="4" t="s">
        <v>59</v>
      </c>
      <c r="D5" s="4" t="s">
        <v>60</v>
      </c>
      <c r="E5" s="4" t="n">
        <v>0</v>
      </c>
      <c r="F5" s="4"/>
      <c r="G5" s="14" t="s">
        <v>57</v>
      </c>
      <c r="H5" s="15" t="n">
        <v>393.2</v>
      </c>
      <c r="I5" s="15" t="n">
        <v>1875.15</v>
      </c>
      <c r="J5" s="15" t="n">
        <v>393.2</v>
      </c>
      <c r="K5" s="16" t="n">
        <f aca="false">J5/B5*10000</f>
        <v>1.31066666666667</v>
      </c>
    </row>
    <row r="6" customFormat="false" ht="15" hidden="false" customHeight="false" outlineLevel="0" collapsed="false">
      <c r="A6" s="4" t="s">
        <v>61</v>
      </c>
      <c r="B6" s="13" t="n">
        <v>5000000</v>
      </c>
      <c r="C6" s="4" t="s">
        <v>56</v>
      </c>
      <c r="D6" s="4" t="s">
        <v>62</v>
      </c>
      <c r="E6" s="4" t="n">
        <v>0</v>
      </c>
      <c r="F6" s="4"/>
      <c r="G6" s="17" t="s">
        <v>63</v>
      </c>
      <c r="H6" s="15" t="n">
        <v>7751.2</v>
      </c>
      <c r="I6" s="15" t="n">
        <v>67739.25</v>
      </c>
      <c r="J6" s="15" t="n">
        <v>67739.25</v>
      </c>
      <c r="K6" s="16" t="n">
        <f aca="false">J6/B6*10000</f>
        <v>135.4785</v>
      </c>
    </row>
    <row r="7" customFormat="false" ht="15" hidden="false" customHeight="false" outlineLevel="0" collapsed="false">
      <c r="A7" s="4" t="s">
        <v>64</v>
      </c>
      <c r="B7" s="13" t="n">
        <v>1500000</v>
      </c>
      <c r="C7" s="4" t="s">
        <v>65</v>
      </c>
      <c r="D7" s="4" t="s">
        <v>65</v>
      </c>
      <c r="E7" s="4" t="n">
        <v>35</v>
      </c>
      <c r="F7" s="4" t="s">
        <v>66</v>
      </c>
      <c r="G7" s="17" t="s">
        <v>63</v>
      </c>
      <c r="H7" s="15" t="n">
        <v>2314.29</v>
      </c>
      <c r="I7" s="15" t="n">
        <v>15467</v>
      </c>
      <c r="J7" s="15" t="n">
        <v>15467</v>
      </c>
      <c r="K7" s="16" t="n">
        <f aca="false">J7/B7*10000</f>
        <v>103.113333333333</v>
      </c>
    </row>
    <row r="8" customFormat="false" ht="15" hidden="false" customHeight="false" outlineLevel="0" collapsed="false">
      <c r="A8" s="4" t="s">
        <v>67</v>
      </c>
      <c r="B8" s="13" t="n">
        <v>4000000</v>
      </c>
      <c r="C8" s="4" t="s">
        <v>68</v>
      </c>
      <c r="D8" s="4" t="s">
        <v>69</v>
      </c>
      <c r="E8" s="4" t="n">
        <v>0</v>
      </c>
      <c r="F8" s="4" t="s">
        <v>70</v>
      </c>
      <c r="G8" s="17" t="s">
        <v>63</v>
      </c>
      <c r="H8" s="15" t="n">
        <v>865.38</v>
      </c>
      <c r="I8" s="15" t="n">
        <v>11668.01</v>
      </c>
      <c r="J8" s="15" t="n">
        <v>11668.01</v>
      </c>
      <c r="K8" s="16" t="n">
        <f aca="false">J8/B8*10000</f>
        <v>29.170025</v>
      </c>
    </row>
    <row r="9" customFormat="false" ht="15" hidden="false" customHeight="false" outlineLevel="0" collapsed="false">
      <c r="A9" s="4" t="s">
        <v>71</v>
      </c>
      <c r="B9" s="13" t="n">
        <v>800000</v>
      </c>
      <c r="C9" s="4" t="s">
        <v>65</v>
      </c>
      <c r="D9" s="4" t="s">
        <v>72</v>
      </c>
      <c r="E9" s="4" t="n">
        <v>95</v>
      </c>
      <c r="F9" s="4" t="s">
        <v>73</v>
      </c>
      <c r="G9" s="18" t="s">
        <v>74</v>
      </c>
      <c r="H9" s="15" t="n">
        <v>128822.64</v>
      </c>
      <c r="I9" s="15" t="n">
        <v>198278.17</v>
      </c>
      <c r="J9" s="15" t="n">
        <v>198278.17</v>
      </c>
      <c r="K9" s="16" t="n">
        <f aca="false">J9/B9*10000</f>
        <v>2478.477125</v>
      </c>
    </row>
    <row r="10" customFormat="false" ht="15" hidden="false" customHeight="false" outlineLevel="0" collapsed="false">
      <c r="A10" s="4" t="s">
        <v>75</v>
      </c>
      <c r="B10" s="13" t="n">
        <v>2500000</v>
      </c>
      <c r="C10" s="4" t="s">
        <v>76</v>
      </c>
      <c r="D10" s="4" t="s">
        <v>77</v>
      </c>
      <c r="E10" s="4" t="n">
        <v>0</v>
      </c>
      <c r="F10" s="4" t="s">
        <v>78</v>
      </c>
      <c r="G10" s="18" t="s">
        <v>74</v>
      </c>
      <c r="H10" s="15" t="n">
        <v>26954.98</v>
      </c>
      <c r="I10" s="15" t="n">
        <v>164811.48</v>
      </c>
      <c r="J10" s="15" t="n">
        <v>164811.48</v>
      </c>
      <c r="K10" s="16" t="n">
        <f aca="false">J10/B10*10000</f>
        <v>659.24592</v>
      </c>
    </row>
    <row r="12" customFormat="false" ht="15" hidden="false" customHeight="false" outlineLevel="0" collapsed="false">
      <c r="A12" s="2" t="s">
        <v>79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7" t="s">
        <v>50</v>
      </c>
      <c r="B13" s="7" t="s">
        <v>80</v>
      </c>
      <c r="C13" s="7" t="s">
        <v>81</v>
      </c>
      <c r="D13" s="7" t="s">
        <v>82</v>
      </c>
      <c r="E13" s="7" t="s">
        <v>83</v>
      </c>
      <c r="F13" s="7" t="s">
        <v>84</v>
      </c>
    </row>
    <row r="14" customFormat="false" ht="15" hidden="false" customHeight="false" outlineLevel="0" collapsed="false">
      <c r="A14" s="14" t="s">
        <v>41</v>
      </c>
      <c r="B14" s="4" t="n">
        <v>2</v>
      </c>
      <c r="C14" s="13" t="n">
        <v>5000000</v>
      </c>
      <c r="D14" s="15" t="n">
        <v>827.98</v>
      </c>
      <c r="E14" s="19" t="n">
        <f aca="false">D14/C14*100</f>
        <v>0.0165596</v>
      </c>
      <c r="F14" s="20" t="n">
        <f aca="false">D14/D17*100</f>
        <v>0.180469624256</v>
      </c>
    </row>
    <row r="15" customFormat="false" ht="15" hidden="false" customHeight="false" outlineLevel="0" collapsed="false">
      <c r="A15" s="17" t="s">
        <v>28</v>
      </c>
      <c r="B15" s="4" t="n">
        <v>3</v>
      </c>
      <c r="C15" s="13" t="n">
        <v>10500000</v>
      </c>
      <c r="D15" s="15" t="n">
        <v>94874.26</v>
      </c>
      <c r="E15" s="19" t="n">
        <f aca="false">D15/C15*100</f>
        <v>0.903564380952381</v>
      </c>
      <c r="F15" s="20" t="n">
        <f aca="false">D15/D17*100</f>
        <v>20.6791493197493</v>
      </c>
    </row>
    <row r="16" customFormat="false" ht="15" hidden="false" customHeight="false" outlineLevel="0" collapsed="false">
      <c r="A16" s="18" t="s">
        <v>19</v>
      </c>
      <c r="B16" s="4" t="n">
        <v>2</v>
      </c>
      <c r="C16" s="13" t="n">
        <v>3300000</v>
      </c>
      <c r="D16" s="15" t="n">
        <v>363089.65</v>
      </c>
      <c r="E16" s="19" t="n">
        <f aca="false">D16/C16*100</f>
        <v>11.0027166666667</v>
      </c>
      <c r="F16" s="20" t="n">
        <f aca="false">D16/D17*100</f>
        <v>79.1403810559947</v>
      </c>
    </row>
    <row r="17" customFormat="false" ht="15" hidden="false" customHeight="false" outlineLevel="0" collapsed="false">
      <c r="A17" s="9" t="s">
        <v>85</v>
      </c>
      <c r="B17" s="9" t="n">
        <f aca="false">SUM(B14:B16)</f>
        <v>7</v>
      </c>
      <c r="C17" s="21" t="n">
        <f aca="false">SUM(C14:C16)</f>
        <v>18800000</v>
      </c>
      <c r="D17" s="22" t="n">
        <f aca="false">SUM(D14:D16)</f>
        <v>458791.89</v>
      </c>
      <c r="E17" s="23" t="n">
        <f aca="false">D17/C17*100</f>
        <v>2.44038239361702</v>
      </c>
    </row>
    <row r="19" customFormat="false" ht="15" hidden="false" customHeight="false" outlineLevel="0" collapsed="false">
      <c r="A19" s="6" t="s">
        <v>86</v>
      </c>
    </row>
    <row r="20" customFormat="false" ht="15" hidden="false" customHeight="false" outlineLevel="0" collapsed="false">
      <c r="A20" s="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2026-05-11T06:05:34Z</dcterms:created>
  <dc:creator>openpyxl</dc:creator>
  <dc:description/>
  <dc:language>en-US</dc:language>
  <cp:lastModifiedBy/>
  <dcterms:modified xsi:type="dcterms:W3CDTF">2026-05-11T06:05:34Z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