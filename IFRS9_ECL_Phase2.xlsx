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_TermStructure" sheetId="1" state="visible" r:id="rId3"/>
    <sheet name="Lifetime_ECL" sheetId="2" state="visible" r:id="rId4"/>
  </sheets>
  <definedNames>
    <definedName function="false" hidden="false" name="EIR2" vbProcedure="false">Lifetime_ECL!$B$7</definedName>
    <definedName function="false" hidden="false" name="LGD2" vbProcedure="false">Lifetime_ECL!$B$6</definedName>
    <definedName function="false" hidden="false" name="Maturity" vbProcedure="false">Lifetime_ECL!$B$8</definedName>
    <definedName function="false" hidden="false" name="Principal" vbProcedure="false">Lifetime_ECL!$B$4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<sst xmlns="http://schemas.openxmlformats.org/spreadsheetml/2006/main" count="37" uniqueCount="33">
  <si>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IFRS 9 ECL Engine — Phase 2: PD Term Structure</t>
  </si>
  <si>
    <t xml:space="preserve">CUMULATIVE PD CURVE</t>
  </si>
  <si>
    <t xml:space="preserve">Year</t>
  </si>
  <si>
    <t xml:space="preserve">Cum PD (%)</t>
  </si>
  <si>
    <t xml:space="preserve">Survival S(t)</t>
  </si>
  <si>
    <t xml:space="preserve">Forward PD</t>
  </si>
  <si>
    <t xml:space="preserve">Marginal PD</t>
  </si>
  <si>
    <t xml:space="preserve">Source: S&amp;P 2024 Global Default Study, Table 25 (European BBB, 1981-2024)</t>
  </si>
  <si>
    <t xml:space="preserve">IFRS 9 — Lifetime ECL Calculation (Stage 2)</t>
  </si>
  <si>
    <t xml:space="preserve">INPUTS</t>
  </si>
  <si>
    <t xml:space="preserve">Principal (€)</t>
  </si>
  <si>
    <t xml:space="preserve">Rating</t>
  </si>
  <si>
    <t xml:space="preserve">BBB</t>
  </si>
  <si>
    <t xml:space="preserve">LGD</t>
  </si>
  <si>
    <t xml:space="preserve">EIR</t>
  </si>
  <si>
    <t xml:space="preserve">Maturity (years)</t>
  </si>
  <si>
    <t xml:space="preserve">Amortisation</t>
  </si>
  <si>
    <t xml:space="preserve">Bullet</t>
  </si>
  <si>
    <t xml:space="preserve">LIFETIME ECL BREAKDOWN</t>
  </si>
  <si>
    <t xml:space="preserve">EAD (BOP)</t>
  </si>
  <si>
    <t xml:space="preserve">Cum PD</t>
  </si>
  <si>
    <t xml:space="preserve">Survival</t>
  </si>
  <si>
    <t xml:space="preserve">Nominal EL</t>
  </si>
  <si>
    <t xml:space="preserve">Discount Factor</t>
  </si>
  <si>
    <t xml:space="preserve">Period ECL</t>
  </si>
  <si>
    <t xml:space="preserve">Cumulative ECL</t>
  </si>
  <si>
    <t xml:space="preserve">TOTAL</t>
  </si>
  <si>
    <t xml:space="preserve">STAGE COMPARISON</t>
  </si>
  <si>
    <t xml:space="preserve">12-Month ECL (Stage 1)</t>
  </si>
  <si>
    <t xml:space="preserve">Lifetime ECL (Stage 2)</t>
  </si>
  <si>
    <t xml:space="preserve">Cliff Effect (ratio)</t>
  </si>
  <si>
    <t xml:space="preserve">The cliff effect shows the P&amp;L impact when a loan migrates from Stage 1 to Stage 2.</t>
  </si>
  <si>
    <t xml:space="preserve">This is a key concern for European supervisors (ACPR, ECB) — see EBA GL/2017/06.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</si>
</sst>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0.0000%"/>
    <numFmt numFmtId="167" formatCode="#,##0"/>
    <numFmt numFmtId="168" formatCode="0.0%"/>
    <numFmt numFmtId="169" formatCode="0"/>
    <numFmt numFmtId="170" formatCode="\€#,##0"/>
    <numFmt numFmtId="171" formatCode="\€#,##0.00"/>
    <numFmt numFmtId="172" formatCode="0.000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666666"/>
      </patternFill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v>1</v>
      </c>
      <c r="B5" s="6" t="n">
        <v>0.0005</v>
      </c>
      <c r="C5" s="7" t="n">
        <f aca="false">1-B5</f>
        <v>0.9995</v>
      </c>
      <c r="D5" s="7" t="n">
        <f aca="false">1-C5</f>
        <v>0.000499999999999945</v>
      </c>
      <c r="E5" s="7" t="n">
        <f aca="false">D5/1</f>
        <v>0.000499999999999945</v>
      </c>
    </row>
    <row r="6" customFormat="false" ht="15" hidden="false" customHeight="false" outlineLevel="0" collapsed="false">
      <c r="A6" s="5" t="n">
        <v>2</v>
      </c>
      <c r="B6" s="6" t="n">
        <v>0.0014</v>
      </c>
      <c r="C6" s="7" t="n">
        <f aca="false">1-B6</f>
        <v>0.9986</v>
      </c>
      <c r="D6" s="7" t="n">
        <f aca="false">C5-C6</f>
        <v>0.000900000000000012</v>
      </c>
      <c r="E6" s="7" t="n">
        <f aca="false">D6/C5</f>
        <v>0.000900450225112568</v>
      </c>
    </row>
    <row r="7" customFormat="false" ht="15" hidden="false" customHeight="false" outlineLevel="0" collapsed="false">
      <c r="A7" s="5" t="n">
        <v>3</v>
      </c>
      <c r="B7" s="6" t="n">
        <v>0.0028</v>
      </c>
      <c r="C7" s="7" t="n">
        <f aca="false">1-B7</f>
        <v>0.9972</v>
      </c>
      <c r="D7" s="7" t="n">
        <f aca="false">C6-C7</f>
        <v>0.00140000000000007</v>
      </c>
      <c r="E7" s="7" t="n">
        <f aca="false">D7/C6</f>
        <v>0.00140196274784705</v>
      </c>
    </row>
    <row r="8" customFormat="false" ht="15" hidden="false" customHeight="false" outlineLevel="0" collapsed="false">
      <c r="A8" s="5" t="n">
        <v>4</v>
      </c>
      <c r="B8" s="6" t="n">
        <v>0.0041</v>
      </c>
      <c r="C8" s="7" t="n">
        <f aca="false">1-B8</f>
        <v>0.9959</v>
      </c>
      <c r="D8" s="7" t="n">
        <f aca="false">C7-C8</f>
        <v>0.00129999999999997</v>
      </c>
      <c r="E8" s="7" t="n">
        <f aca="false">D8/C7</f>
        <v>0.0013036502206177</v>
      </c>
    </row>
    <row r="9" customFormat="false" ht="15" hidden="false" customHeight="false" outlineLevel="0" collapsed="false">
      <c r="A9" s="5" t="n">
        <v>5</v>
      </c>
      <c r="B9" s="6" t="n">
        <v>0.0056</v>
      </c>
      <c r="C9" s="7" t="n">
        <f aca="false">1-B9</f>
        <v>0.9944</v>
      </c>
      <c r="D9" s="7" t="n">
        <f aca="false">C8-C9</f>
        <v>0.00150000000000006</v>
      </c>
      <c r="E9" s="7" t="n">
        <f aca="false">D9/C8</f>
        <v>0.00150617531880717</v>
      </c>
    </row>
    <row r="10" customFormat="false" ht="15" hidden="false" customHeight="false" outlineLevel="0" collapsed="false">
      <c r="A10" s="5" t="n">
        <v>6</v>
      </c>
      <c r="B10" s="6" t="n">
        <v>0.0076</v>
      </c>
      <c r="C10" s="7" t="n">
        <f aca="false">1-B10</f>
        <v>0.9924</v>
      </c>
      <c r="D10" s="7" t="n">
        <f aca="false">C9-C10</f>
        <v>0.002</v>
      </c>
      <c r="E10" s="7" t="n">
        <f aca="false">D10/C9</f>
        <v>0.00201126307320998</v>
      </c>
    </row>
    <row r="11" customFormat="false" ht="15" hidden="false" customHeight="false" outlineLevel="0" collapsed="false">
      <c r="A11" s="5" t="n">
        <v>7</v>
      </c>
      <c r="B11" s="6" t="n">
        <v>0.0093</v>
      </c>
      <c r="C11" s="7" t="n">
        <f aca="false">1-B11</f>
        <v>0.9907</v>
      </c>
      <c r="D11" s="7" t="n">
        <f aca="false">C10-C11</f>
        <v>0.00169999999999992</v>
      </c>
      <c r="E11" s="7" t="n">
        <f aca="false">D11/C10</f>
        <v>0.00171301894397413</v>
      </c>
    </row>
    <row r="12" customFormat="false" ht="15" hidden="false" customHeight="false" outlineLevel="0" collapsed="false">
      <c r="A12" s="5" t="n">
        <v>8</v>
      </c>
      <c r="B12" s="6" t="n">
        <v>0.0109</v>
      </c>
      <c r="C12" s="7" t="n">
        <f aca="false">1-B12</f>
        <v>0.9891</v>
      </c>
      <c r="D12" s="7" t="n">
        <f aca="false">C11-C12</f>
        <v>0.00160000000000005</v>
      </c>
      <c r="E12" s="7" t="n">
        <f aca="false">D12/C11</f>
        <v>0.00161501968305243</v>
      </c>
    </row>
    <row r="13" customFormat="false" ht="15" hidden="false" customHeight="false" outlineLevel="0" collapsed="false">
      <c r="A13" s="5" t="n">
        <v>9</v>
      </c>
      <c r="B13" s="6" t="n">
        <v>0.0127</v>
      </c>
      <c r="C13" s="7" t="n">
        <f aca="false">1-B13</f>
        <v>0.9873</v>
      </c>
      <c r="D13" s="7" t="n">
        <f aca="false">C12-C13</f>
        <v>0.00180000000000002</v>
      </c>
      <c r="E13" s="7" t="n">
        <f aca="false">D13/C12</f>
        <v>0.0018198362147407</v>
      </c>
    </row>
    <row r="14" customFormat="false" ht="15" hidden="false" customHeight="false" outlineLevel="0" collapsed="false">
      <c r="A14" s="5" t="n">
        <v>10</v>
      </c>
      <c r="B14" s="6" t="n">
        <v>0.0143</v>
      </c>
      <c r="C14" s="7" t="n">
        <f aca="false">1-B14</f>
        <v>0.9857</v>
      </c>
      <c r="D14" s="7" t="n">
        <f aca="false">C13-C14</f>
        <v>0.00159999999999993</v>
      </c>
      <c r="E14" s="7" t="n">
        <f aca="false">D14/C13</f>
        <v>0.00162058138357129</v>
      </c>
    </row>
    <row r="15" customFormat="false" ht="15" hidden="false" customHeight="false" outlineLevel="0" collapsed="false">
      <c r="A15" s="8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11" min="8" style="0" width="14"/>
  </cols>
  <sheetData>
    <row r="1" customFormat="false" ht="17.35" hidden="false" customHeight="false" outlineLevel="0" collapsed="false">
      <c r="A1" s="1" t="s">
        <v>8</v>
      </c>
    </row>
    <row r="3" customFormat="false" ht="15" hidden="false" customHeight="false" outlineLevel="0" collapsed="false">
      <c r="A3" s="2" t="s">
        <v>9</v>
      </c>
      <c r="B3" s="3"/>
      <c r="C3" s="3"/>
    </row>
    <row r="4" customFormat="false" ht="15" hidden="false" customHeight="false" outlineLevel="0" collapsed="false">
      <c r="A4" s="5" t="s">
        <v>10</v>
      </c>
      <c r="B4" s="9" t="n">
        <v>1000000</v>
      </c>
    </row>
    <row r="5" customFormat="false" ht="15" hidden="false" customHeight="false" outlineLevel="0" collapsed="false">
      <c r="A5" s="5" t="s">
        <v>11</v>
      </c>
      <c r="B5" s="10" t="s">
        <v>12</v>
      </c>
    </row>
    <row r="6" customFormat="false" ht="15" hidden="false" customHeight="false" outlineLevel="0" collapsed="false">
      <c r="A6" s="5" t="s">
        <v>13</v>
      </c>
      <c r="B6" s="11" t="n">
        <v>0.45</v>
      </c>
    </row>
    <row r="7" customFormat="false" ht="15" hidden="false" customHeight="false" outlineLevel="0" collapsed="false">
      <c r="A7" s="5" t="s">
        <v>14</v>
      </c>
      <c r="B7" s="11" t="n">
        <v>0.035</v>
      </c>
    </row>
    <row r="8" customFormat="false" ht="15" hidden="false" customHeight="false" outlineLevel="0" collapsed="false">
      <c r="A8" s="5" t="s">
        <v>15</v>
      </c>
      <c r="B8" s="12" t="n">
        <v>5</v>
      </c>
    </row>
    <row r="9" customFormat="false" ht="15" hidden="false" customHeight="false" outlineLevel="0" collapsed="false">
      <c r="A9" s="5" t="s">
        <v>16</v>
      </c>
      <c r="B9" s="10" t="s">
        <v>17</v>
      </c>
    </row>
    <row r="11" customFormat="false" ht="15" hidden="false" customHeight="false" outlineLevel="0" collapsed="false">
      <c r="A11" s="2" t="s">
        <v>18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4" t="s">
        <v>2</v>
      </c>
      <c r="B12" s="4" t="s">
        <v>19</v>
      </c>
      <c r="C12" s="4" t="s">
        <v>20</v>
      </c>
      <c r="D12" s="4" t="s">
        <v>21</v>
      </c>
      <c r="E12" s="4" t="s">
        <v>5</v>
      </c>
      <c r="F12" s="4" t="s">
        <v>6</v>
      </c>
      <c r="G12" s="4" t="s">
        <v>13</v>
      </c>
      <c r="H12" s="4" t="s">
        <v>22</v>
      </c>
      <c r="I12" s="4" t="s">
        <v>23</v>
      </c>
      <c r="J12" s="4" t="s">
        <v>24</v>
      </c>
      <c r="K12" s="4" t="s">
        <v>25</v>
      </c>
    </row>
    <row r="13" customFormat="false" ht="15" hidden="false" customHeight="false" outlineLevel="0" collapsed="false">
      <c r="A13" s="5" t="n">
        <v>1</v>
      </c>
      <c r="B13" s="13" t="n">
        <f aca="false">Principal</f>
        <v>1000000</v>
      </c>
      <c r="C13" s="14" t="n">
        <f aca="false">PD_TermStructure!B5</f>
        <v>0.0005</v>
      </c>
      <c r="D13" s="15" t="n">
        <f aca="false">PD_TermStructure!C5</f>
        <v>0.9995</v>
      </c>
      <c r="E13" s="15" t="n">
        <f aca="false">PD_TermStructure!D5</f>
        <v>0.000499999999999945</v>
      </c>
      <c r="F13" s="15" t="n">
        <f aca="false">PD_TermStructure!E5</f>
        <v>0.000499999999999945</v>
      </c>
      <c r="G13" s="16" t="n">
        <f aca="false">LGD2</f>
        <v>0.45</v>
      </c>
      <c r="H13" s="17" t="n">
        <f aca="false">E13*G13*B13</f>
        <v>224.999999999975</v>
      </c>
      <c r="I13" s="18" t="n">
        <f aca="false">1/(1+EIR2)^A13</f>
        <v>0.966183574879227</v>
      </c>
      <c r="J13" s="17" t="n">
        <f aca="false">H13*I13</f>
        <v>217.391304347802</v>
      </c>
      <c r="K13" s="17" t="n">
        <f aca="false">SUM(J13:J13)</f>
        <v>217.391304347802</v>
      </c>
    </row>
    <row r="14" customFormat="false" ht="15" hidden="false" customHeight="false" outlineLevel="0" collapsed="false">
      <c r="A14" s="5" t="n">
        <v>2</v>
      </c>
      <c r="B14" s="13" t="n">
        <f aca="false">Principal</f>
        <v>1000000</v>
      </c>
      <c r="C14" s="14" t="n">
        <f aca="false">PD_TermStructure!B6</f>
        <v>0.0014</v>
      </c>
      <c r="D14" s="15" t="n">
        <f aca="false">PD_TermStructure!C6</f>
        <v>0.9986</v>
      </c>
      <c r="E14" s="15" t="n">
        <f aca="false">PD_TermStructure!D6</f>
        <v>0.000900000000000012</v>
      </c>
      <c r="F14" s="15" t="n">
        <f aca="false">PD_TermStructure!E6</f>
        <v>0.000900450225112568</v>
      </c>
      <c r="G14" s="16" t="n">
        <f aca="false">LGD2</f>
        <v>0.45</v>
      </c>
      <c r="H14" s="17" t="n">
        <f aca="false">E14*G14*B14</f>
        <v>405.000000000005</v>
      </c>
      <c r="I14" s="18" t="n">
        <f aca="false">1/(1+EIR2)^A14</f>
        <v>0.933510700366403</v>
      </c>
      <c r="J14" s="17" t="n">
        <f aca="false">H14*I14</f>
        <v>378.071833648398</v>
      </c>
      <c r="K14" s="17" t="n">
        <f aca="false">SUM(J13:J14)</f>
        <v>595.4631379962</v>
      </c>
    </row>
    <row r="15" customFormat="false" ht="15" hidden="false" customHeight="false" outlineLevel="0" collapsed="false">
      <c r="A15" s="5" t="n">
        <v>3</v>
      </c>
      <c r="B15" s="13" t="n">
        <f aca="false">Principal</f>
        <v>1000000</v>
      </c>
      <c r="C15" s="14" t="n">
        <f aca="false">PD_TermStructure!B7</f>
        <v>0.0028</v>
      </c>
      <c r="D15" s="15" t="n">
        <f aca="false">PD_TermStructure!C7</f>
        <v>0.9972</v>
      </c>
      <c r="E15" s="15" t="n">
        <f aca="false">PD_TermStructure!D7</f>
        <v>0.00140000000000007</v>
      </c>
      <c r="F15" s="15" t="n">
        <f aca="false">PD_TermStructure!E7</f>
        <v>0.00140196274784705</v>
      </c>
      <c r="G15" s="16" t="n">
        <f aca="false">LGD2</f>
        <v>0.45</v>
      </c>
      <c r="H15" s="17" t="n">
        <f aca="false">E15*G15*B15</f>
        <v>630.000000000031</v>
      </c>
      <c r="I15" s="18" t="n">
        <f aca="false">1/(1+EIR2)^A15</f>
        <v>0.901942705668022</v>
      </c>
      <c r="J15" s="17" t="n">
        <f aca="false">H15*I15</f>
        <v>568.223904570882</v>
      </c>
      <c r="K15" s="17" t="n">
        <f aca="false">SUM(J13:J15)</f>
        <v>1163.68704256708</v>
      </c>
    </row>
    <row r="16" customFormat="false" ht="15" hidden="false" customHeight="false" outlineLevel="0" collapsed="false">
      <c r="A16" s="5" t="n">
        <v>4</v>
      </c>
      <c r="B16" s="13" t="n">
        <f aca="false">Principal</f>
        <v>1000000</v>
      </c>
      <c r="C16" s="14" t="n">
        <f aca="false">PD_TermStructure!B8</f>
        <v>0.0041</v>
      </c>
      <c r="D16" s="15" t="n">
        <f aca="false">PD_TermStructure!C8</f>
        <v>0.9959</v>
      </c>
      <c r="E16" s="15" t="n">
        <f aca="false">PD_TermStructure!D8</f>
        <v>0.00129999999999997</v>
      </c>
      <c r="F16" s="15" t="n">
        <f aca="false">PD_TermStructure!E8</f>
        <v>0.0013036502206177</v>
      </c>
      <c r="G16" s="16" t="n">
        <f aca="false">LGD2</f>
        <v>0.45</v>
      </c>
      <c r="H16" s="17" t="n">
        <f aca="false">E16*G16*B16</f>
        <v>584.999999999986</v>
      </c>
      <c r="I16" s="18" t="n">
        <f aca="false">1/(1+EIR2)^A16</f>
        <v>0.871442227698572</v>
      </c>
      <c r="J16" s="17" t="n">
        <f aca="false">H16*I16</f>
        <v>509.793703203652</v>
      </c>
      <c r="K16" s="17" t="n">
        <f aca="false">SUM(J13:J16)</f>
        <v>1673.48074577073</v>
      </c>
    </row>
    <row r="17" customFormat="false" ht="15" hidden="false" customHeight="false" outlineLevel="0" collapsed="false">
      <c r="A17" s="5" t="n">
        <v>5</v>
      </c>
      <c r="B17" s="13" t="n">
        <f aca="false">Principal</f>
        <v>1000000</v>
      </c>
      <c r="C17" s="14" t="n">
        <f aca="false">PD_TermStructure!B9</f>
        <v>0.0056</v>
      </c>
      <c r="D17" s="15" t="n">
        <f aca="false">PD_TermStructure!C9</f>
        <v>0.9944</v>
      </c>
      <c r="E17" s="15" t="n">
        <f aca="false">PD_TermStructure!D9</f>
        <v>0.00150000000000006</v>
      </c>
      <c r="F17" s="15" t="n">
        <f aca="false">PD_TermStructure!E9</f>
        <v>0.00150617531880717</v>
      </c>
      <c r="G17" s="16" t="n">
        <f aca="false">LGD2</f>
        <v>0.45</v>
      </c>
      <c r="H17" s="17" t="n">
        <f aca="false">E17*G17*B17</f>
        <v>675.000000000026</v>
      </c>
      <c r="I17" s="18" t="n">
        <f aca="false">1/(1+EIR2)^A17</f>
        <v>0.841973166858524</v>
      </c>
      <c r="J17" s="17" t="n">
        <f aca="false">H17*I17</f>
        <v>568.331887629525</v>
      </c>
      <c r="K17" s="17" t="n">
        <f aca="false">SUM(J13:J17)</f>
        <v>2241.81263340026</v>
      </c>
    </row>
    <row r="18" customFormat="false" ht="15" hidden="false" customHeight="false" outlineLevel="0" collapsed="false">
      <c r="A18" s="19" t="s">
        <v>26</v>
      </c>
      <c r="H18" s="20" t="n">
        <f aca="false">SUM(H13:H17)</f>
        <v>2520.00000000002</v>
      </c>
      <c r="J18" s="21" t="n">
        <f aca="false">SUM(J13:J17)</f>
        <v>2241.81263340026</v>
      </c>
    </row>
    <row r="20" customFormat="false" ht="15" hidden="false" customHeight="false" outlineLevel="0" collapsed="false">
      <c r="A20" s="2" t="s">
        <v>27</v>
      </c>
      <c r="B20" s="3"/>
      <c r="C20" s="3"/>
    </row>
    <row r="21" customFormat="false" ht="15" hidden="false" customHeight="false" outlineLevel="0" collapsed="false">
      <c r="A21" s="5" t="s">
        <v>28</v>
      </c>
      <c r="B21" s="20" t="n">
        <f aca="false">J13</f>
        <v>217.391304347802</v>
      </c>
    </row>
    <row r="22" customFormat="false" ht="15" hidden="false" customHeight="false" outlineLevel="0" collapsed="false">
      <c r="A22" s="5" t="s">
        <v>29</v>
      </c>
      <c r="B22" s="21" t="n">
        <f aca="false">J18</f>
        <v>2241.81263340026</v>
      </c>
    </row>
    <row r="23" customFormat="false" ht="15" hidden="false" customHeight="false" outlineLevel="0" collapsed="false">
      <c r="A23" s="5" t="s">
        <v>30</v>
      </c>
      <c r="B23" s="22" t="n">
        <f aca="false">B22/B21</f>
        <v>10.3123381136423</v>
      </c>
    </row>
    <row r="25" customFormat="false" ht="15" hidden="false" customHeight="false" outlineLevel="0" collapsed="false">
      <c r="A25" s="8" t="s">
        <v>31</v>
      </c>
    </row>
    <row r="26" customFormat="false" ht="15" hidden="false" customHeight="false" outlineLevel="0" collapsed="false">
      <c r="A26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2026-05-11T05:53:45Z</dcterms:created>
  <dc:creator>openpyxl</dc:creator>
  <dc:description/>
  <dc:language>en-US</dc:language>
  <cp:lastModifiedBy/>
  <dcterms:modified xsi:type="dcterms:W3CDTF">2026-05-11T05:53:45Z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