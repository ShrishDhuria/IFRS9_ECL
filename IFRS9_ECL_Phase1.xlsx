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1_ECL" sheetId="1" state="visible" r:id="rId3"/>
    <sheet name="PD_Table" sheetId="2" state="visible" r:id="rId4"/>
    <sheet name="Cumulative_PD" sheetId="3" state="visible" r:id="rId5"/>
  </sheets>
  <definedNames>
    <definedName function="false" hidden="false" name="EAD" vbProcedure="false">Phase1_ECL!$B$7</definedName>
    <definedName function="false" hidden="false" name="EIR" vbProcedure="false">Phase1_ECL!$B$10</definedName>
    <definedName function="false" hidden="false" name="LGD" vbProcedure="false">Phase1_ECL!$B$9</definedName>
    <definedName function="false" hidden="false" name="PD" vbProcedure="false">Phase1_ECL!$B$8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<sst xmlns="http://schemas.openxmlformats.org/spreadsheetml/2006/main" count="88" uniqueCount="64">
  <si>
    <t xml:space="preserve">IFRS 9 ECL Engine — Phase 1</t>
  </si>
  <si>
    <t xml:space="preserve">Single-Loan 12-Month ECL (Stage 1)</t>
  </si>
  <si>
    <t xml:space="preserve">LOAN INPUTS</t>
  </si>
  <si>
    <t xml:space="preserve">Source / Note</t>
  </si>
  <si>
    <t xml:space="preserve">Borrower Name</t>
  </si>
  <si>
    <t xml:space="preserve">Acme Corp</t>
  </si>
  <si>
    <t xml:space="preserve">Illustrative</t>
  </si>
  <si>
    <t xml:space="preserve">Rating (S&amp;P)</t>
  </si>
  <si>
    <t xml:space="preserve">BBB</t>
  </si>
  <si>
    <t xml:space="preserve">Maps to PD via lookup table below</t>
  </si>
  <si>
    <t xml:space="preserve">EAD (€)</t>
  </si>
  <si>
    <t xml:space="preserve">Current outstanding balance</t>
  </si>
  <si>
    <t xml:space="preserve">PD (12-month)</t>
  </si>
  <si>
    <t xml:space="preserve">Looked up via VLOOKUP from PD_Table sheet</t>
  </si>
  <si>
    <t xml:space="preserve">LGD</t>
  </si>
  <si>
    <t xml:space="preserve">Foundation IRB: 45% senior unsecured (CRR Art. 161)</t>
  </si>
  <si>
    <t xml:space="preserve">EIR</t>
  </si>
  <si>
    <t xml:space="preserve">Effective interest rate at origination</t>
  </si>
  <si>
    <t xml:space="preserve">ECL CALCULATION</t>
  </si>
  <si>
    <t xml:space="preserve">Nominal EL  (PD × LGD × EAD)</t>
  </si>
  <si>
    <t xml:space="preserve">Basel-style expected loss (undiscounted)</t>
  </si>
  <si>
    <t xml:space="preserve">Discount Factor  1/(1+EIR)</t>
  </si>
  <si>
    <t xml:space="preserve">One-period discounting at the loan's EIR</t>
  </si>
  <si>
    <t xml:space="preserve">12-Month ECL</t>
  </si>
  <si>
    <t xml:space="preserve">Present value of expected loss — IFRS 9 Stage 1 allowance</t>
  </si>
  <si>
    <t xml:space="preserve">S&amp;P Rating</t>
  </si>
  <si>
    <t xml:space="preserve">1Y PD (Global)</t>
  </si>
  <si>
    <t xml:space="preserve">1Y PD (Europe)</t>
  </si>
  <si>
    <t xml:space="preserve">Source</t>
  </si>
  <si>
    <t xml:space="preserve">AAA</t>
  </si>
  <si>
    <t xml:space="preserve">S&amp;P 2024 Annual Global Default Study, Table 26 (Mar 2025)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</si>
  <si>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</si>
  <si>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</si>
  <si>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</si>
  <si>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</si>
  <si>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</si>
  <si>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</si>
  <si>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</si>
  <si>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BBB-</t>
  </si>
  <si>
    <t xml:space="preserve">BB+</t>
  </si>
  <si>
    <t xml:space="preserve">BB</t>
  </si>
  <si>
    <t xml:space="preserve">BB-</t>
  </si>
  <si>
    <t xml:space="preserve">B+</t>
  </si>
  <si>
    <t xml:space="preserve">B</t>
  </si>
  <si>
    <t xml:space="preserve">B-</t>
  </si>
  <si>
    <t xml:space="preserve">CCC/C</t>
  </si>
  <si>
    <t xml:space="preserve">Rating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</si>
  <si>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</si>
  <si>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</si>
  <si>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</si>
  <si>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</si>
  <si>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</si>
  <si>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</si>
  <si>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</si>
  <si>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</si>
  <si>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</si>
  <si>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</si>
  <si>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</si>
  <si>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</si>
  <si>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</si>
  <si>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</si>
  <si>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</si>
  <si>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Source: S&amp;P 2024 Annual Global Default Study, Table 24 (Mar 2025)</t>
  </si>
  <si>
    <t xml:space="preserve">Note: These are global averages 1981-2024. European rates in Table 25 are slightly lower.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</si>
</sst>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\€#,##0.00"/>
    <numFmt numFmtId="169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88888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548235"/>
        <bgColor rgb="FF6666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4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4" t="s">
        <v>3</v>
      </c>
    </row>
    <row r="5" customFormat="false" ht="15" hidden="false" customHeight="true" outlineLevel="0" collapsed="false">
      <c r="A5" s="6" t="s">
        <v>4</v>
      </c>
      <c r="B5" s="7" t="s">
        <v>5</v>
      </c>
      <c r="C5" s="8" t="s">
        <v>6</v>
      </c>
    </row>
    <row r="6" customFormat="false" ht="15" hidden="false" customHeight="true" outlineLevel="0" collapsed="false">
      <c r="A6" s="6" t="s">
        <v>7</v>
      </c>
      <c r="B6" s="7" t="s">
        <v>8</v>
      </c>
      <c r="C6" s="8" t="s">
        <v>9</v>
      </c>
    </row>
    <row r="7" customFormat="false" ht="15" hidden="false" customHeight="true" outlineLevel="0" collapsed="false">
      <c r="A7" s="6" t="s">
        <v>10</v>
      </c>
      <c r="B7" s="9" t="n">
        <v>1000000</v>
      </c>
      <c r="C7" s="8" t="s">
        <v>11</v>
      </c>
    </row>
    <row r="8" customFormat="false" ht="15" hidden="false" customHeight="true" outlineLevel="0" collapsed="false">
      <c r="A8" s="6" t="s">
        <v>12</v>
      </c>
      <c r="B8" s="10" t="n">
        <f aca="false">VLOOKUP(B6,PD_Table!A:B,2,FALSE())</f>
        <v>0.0013</v>
      </c>
      <c r="C8" s="8" t="s">
        <v>13</v>
      </c>
    </row>
    <row r="9" customFormat="false" ht="15" hidden="false" customHeight="true" outlineLevel="0" collapsed="false">
      <c r="A9" s="6" t="s">
        <v>14</v>
      </c>
      <c r="B9" s="11" t="n">
        <v>0.45</v>
      </c>
      <c r="C9" s="8" t="s">
        <v>15</v>
      </c>
    </row>
    <row r="10" customFormat="false" ht="15" hidden="false" customHeight="true" outlineLevel="0" collapsed="false">
      <c r="A10" s="6" t="s">
        <v>16</v>
      </c>
      <c r="B10" s="11" t="n">
        <v>0.035</v>
      </c>
      <c r="C10" s="8" t="s">
        <v>17</v>
      </c>
    </row>
    <row r="12" customFormat="false" ht="15" hidden="false" customHeight="true" outlineLevel="0" collapsed="false">
      <c r="A12" s="12" t="s">
        <v>18</v>
      </c>
      <c r="B12" s="13"/>
      <c r="C12" s="13"/>
    </row>
    <row r="13" customFormat="false" ht="15" hidden="false" customHeight="true" outlineLevel="0" collapsed="false">
      <c r="A13" s="6" t="s">
        <v>19</v>
      </c>
      <c r="B13" s="14" t="n">
        <f aca="false">EAD*PD*LGD</f>
        <v>585</v>
      </c>
      <c r="C13" s="8" t="s">
        <v>20</v>
      </c>
    </row>
    <row r="14" customFormat="false" ht="15" hidden="false" customHeight="true" outlineLevel="0" collapsed="false">
      <c r="A14" s="6" t="s">
        <v>21</v>
      </c>
      <c r="B14" s="15" t="n">
        <f aca="false">1/(1+EIR)</f>
        <v>0.966183574879227</v>
      </c>
      <c r="C14" s="8" t="s">
        <v>22</v>
      </c>
    </row>
    <row r="15" customFormat="false" ht="15" hidden="false" customHeight="true" outlineLevel="0" collapsed="false">
      <c r="A15" s="6" t="s">
        <v>23</v>
      </c>
      <c r="B15" s="16" t="n">
        <f aca="false">B13*B14</f>
        <v>565.217391304348</v>
      </c>
      <c r="C15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50"/>
  </cols>
  <sheetData>
    <row r="1" customFormat="false" ht="1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</row>
    <row r="2" customFormat="false" ht="15" hidden="false" customHeight="true" outlineLevel="0" collapsed="false">
      <c r="A2" s="6" t="s">
        <v>29</v>
      </c>
      <c r="B2" s="17" t="n">
        <v>0</v>
      </c>
      <c r="C2" s="17" t="n">
        <v>0</v>
      </c>
      <c r="D2" s="18" t="s">
        <v>30</v>
      </c>
    </row>
    <row r="3" customFormat="false" ht="15" hidden="false" customHeight="true" outlineLevel="0" collapsed="false">
      <c r="A3" s="6" t="s">
        <v>31</v>
      </c>
      <c r="B3" s="17" t="n">
        <v>0</v>
      </c>
      <c r="D3" s="18" t="s">
        <v>30</v>
      </c>
    </row>
    <row r="4" customFormat="false" ht="15" hidden="false" customHeight="true" outlineLevel="0" collapsed="false">
      <c r="A4" s="6" t="s">
        <v>32</v>
      </c>
      <c r="B4" s="17" t="n">
        <v>0.0002</v>
      </c>
      <c r="C4" s="17" t="n">
        <v>0</v>
      </c>
      <c r="D4" s="18" t="s">
        <v>30</v>
      </c>
    </row>
    <row r="5" customFormat="false" ht="15" hidden="false" customHeight="true" outlineLevel="0" collapsed="false">
      <c r="A5" s="6" t="s">
        <v>33</v>
      </c>
      <c r="B5" s="17" t="n">
        <v>0.0002</v>
      </c>
      <c r="D5" s="18" t="s">
        <v>30</v>
      </c>
    </row>
    <row r="6" customFormat="false" ht="15" hidden="false" customHeight="true" outlineLevel="0" collapsed="false">
      <c r="A6" s="6" t="s">
        <v>34</v>
      </c>
      <c r="B6" s="17" t="n">
        <v>0.0004</v>
      </c>
      <c r="D6" s="18" t="s">
        <v>30</v>
      </c>
    </row>
    <row r="7" customFormat="false" ht="15" hidden="false" customHeight="true" outlineLevel="0" collapsed="false">
      <c r="A7" s="6" t="s">
        <v>35</v>
      </c>
      <c r="B7" s="17" t="n">
        <v>0.0005</v>
      </c>
      <c r="C7" s="17" t="n">
        <v>0.0003</v>
      </c>
      <c r="D7" s="18" t="s">
        <v>30</v>
      </c>
    </row>
    <row r="8" customFormat="false" ht="15" hidden="false" customHeight="true" outlineLevel="0" collapsed="false">
      <c r="A8" s="6" t="s">
        <v>36</v>
      </c>
      <c r="B8" s="17" t="n">
        <v>0.0005</v>
      </c>
      <c r="D8" s="18" t="s">
        <v>30</v>
      </c>
    </row>
    <row r="9" customFormat="false" ht="15" hidden="false" customHeight="true" outlineLevel="0" collapsed="false">
      <c r="A9" s="6" t="s">
        <v>37</v>
      </c>
      <c r="B9" s="17" t="n">
        <v>0.0009</v>
      </c>
      <c r="D9" s="18" t="s">
        <v>30</v>
      </c>
    </row>
    <row r="10" customFormat="false" ht="15" hidden="false" customHeight="true" outlineLevel="0" collapsed="false">
      <c r="A10" s="6" t="s">
        <v>8</v>
      </c>
      <c r="B10" s="17" t="n">
        <v>0.0013</v>
      </c>
      <c r="C10" s="17" t="n">
        <v>0.0005</v>
      </c>
      <c r="D10" s="18" t="s">
        <v>30</v>
      </c>
    </row>
    <row r="11" customFormat="false" ht="15" hidden="false" customHeight="true" outlineLevel="0" collapsed="false">
      <c r="A11" s="6" t="s">
        <v>38</v>
      </c>
      <c r="B11" s="17" t="n">
        <v>0.0021</v>
      </c>
      <c r="D11" s="18" t="s">
        <v>30</v>
      </c>
    </row>
    <row r="12" customFormat="false" ht="15" hidden="false" customHeight="true" outlineLevel="0" collapsed="false">
      <c r="A12" s="6" t="s">
        <v>39</v>
      </c>
      <c r="B12" s="17" t="n">
        <v>0.0027</v>
      </c>
      <c r="D12" s="18" t="s">
        <v>30</v>
      </c>
    </row>
    <row r="13" customFormat="false" ht="15" hidden="false" customHeight="true" outlineLevel="0" collapsed="false">
      <c r="A13" s="6" t="s">
        <v>40</v>
      </c>
      <c r="B13" s="17" t="n">
        <v>0.0044</v>
      </c>
      <c r="C13" s="17" t="n">
        <v>0.0036</v>
      </c>
      <c r="D13" s="18" t="s">
        <v>30</v>
      </c>
    </row>
    <row r="14" customFormat="false" ht="15" hidden="false" customHeight="true" outlineLevel="0" collapsed="false">
      <c r="A14" s="6" t="s">
        <v>41</v>
      </c>
      <c r="B14" s="17" t="n">
        <v>0.0087</v>
      </c>
      <c r="D14" s="18" t="s">
        <v>30</v>
      </c>
    </row>
    <row r="15" customFormat="false" ht="15" hidden="false" customHeight="true" outlineLevel="0" collapsed="false">
      <c r="A15" s="6" t="s">
        <v>42</v>
      </c>
      <c r="B15" s="17" t="n">
        <v>0.0183</v>
      </c>
      <c r="D15" s="18" t="s">
        <v>30</v>
      </c>
    </row>
    <row r="16" customFormat="false" ht="15" hidden="false" customHeight="true" outlineLevel="0" collapsed="false">
      <c r="A16" s="6" t="s">
        <v>43</v>
      </c>
      <c r="B16" s="17" t="n">
        <v>0.0269</v>
      </c>
      <c r="C16" s="17" t="n">
        <v>0.0175</v>
      </c>
      <c r="D16" s="18" t="s">
        <v>30</v>
      </c>
    </row>
    <row r="17" customFormat="false" ht="15" hidden="false" customHeight="true" outlineLevel="0" collapsed="false">
      <c r="A17" s="6" t="s">
        <v>44</v>
      </c>
      <c r="B17" s="17" t="n">
        <v>0.0516</v>
      </c>
      <c r="D17" s="18" t="s">
        <v>30</v>
      </c>
    </row>
    <row r="18" customFormat="false" ht="15" hidden="false" customHeight="true" outlineLevel="0" collapsed="false">
      <c r="A18" s="6" t="s">
        <v>45</v>
      </c>
      <c r="B18" s="17" t="n">
        <v>0.2612</v>
      </c>
      <c r="C18" s="17" t="n">
        <v>0.2626</v>
      </c>
      <c r="D18" s="1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6" min="2" style="1" width="8"/>
  </cols>
  <sheetData>
    <row r="1" customFormat="false" ht="15" hidden="false" customHeight="true" outlineLevel="0" collapsed="false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</row>
    <row r="2" customFormat="false" ht="15" hidden="false" customHeight="true" outlineLevel="0" collapsed="false">
      <c r="A2" s="6" t="s">
        <v>29</v>
      </c>
      <c r="B2" s="19" t="n">
        <v>0</v>
      </c>
      <c r="C2" s="19" t="n">
        <v>0.0003</v>
      </c>
      <c r="D2" s="19" t="n">
        <v>0.0013</v>
      </c>
      <c r="E2" s="19" t="n">
        <v>0.0023</v>
      </c>
      <c r="F2" s="19" t="n">
        <v>0.0034</v>
      </c>
      <c r="G2" s="19" t="n">
        <v>0.0044</v>
      </c>
      <c r="H2" s="19" t="n">
        <v>0.0049</v>
      </c>
      <c r="I2" s="19" t="n">
        <v>0.0057</v>
      </c>
      <c r="J2" s="19" t="n">
        <v>0.0062</v>
      </c>
      <c r="K2" s="19" t="n">
        <v>0.0067</v>
      </c>
      <c r="L2" s="19" t="n">
        <v>0.007</v>
      </c>
      <c r="M2" s="19" t="n">
        <v>0.0073</v>
      </c>
      <c r="N2" s="19" t="n">
        <v>0.0075</v>
      </c>
      <c r="O2" s="19" t="n">
        <v>0.0081</v>
      </c>
      <c r="P2" s="19" t="n">
        <v>0.0086</v>
      </c>
    </row>
    <row r="3" customFormat="false" ht="15" hidden="false" customHeight="true" outlineLevel="0" collapsed="false">
      <c r="A3" s="6" t="s">
        <v>32</v>
      </c>
      <c r="B3" s="19" t="n">
        <v>0.0002</v>
      </c>
      <c r="C3" s="19" t="n">
        <v>0.0005</v>
      </c>
      <c r="D3" s="19" t="n">
        <v>0.0011</v>
      </c>
      <c r="E3" s="19" t="n">
        <v>0.0019</v>
      </c>
      <c r="F3" s="19" t="n">
        <v>0.0028</v>
      </c>
      <c r="G3" s="19" t="n">
        <v>0.0037</v>
      </c>
      <c r="H3" s="19" t="n">
        <v>0.0045</v>
      </c>
      <c r="I3" s="19" t="n">
        <v>0.0052</v>
      </c>
      <c r="J3" s="19" t="n">
        <v>0.0059</v>
      </c>
      <c r="K3" s="19" t="n">
        <v>0.0065</v>
      </c>
      <c r="L3" s="19" t="n">
        <v>0.0071</v>
      </c>
      <c r="M3" s="19" t="n">
        <v>0.0076</v>
      </c>
      <c r="N3" s="19" t="n">
        <v>0.0081</v>
      </c>
      <c r="O3" s="19" t="n">
        <v>0.0086</v>
      </c>
      <c r="P3" s="19" t="n">
        <v>0.009</v>
      </c>
    </row>
    <row r="4" customFormat="false" ht="15" hidden="false" customHeight="true" outlineLevel="0" collapsed="false">
      <c r="A4" s="6" t="s">
        <v>35</v>
      </c>
      <c r="B4" s="19" t="n">
        <v>0.0005</v>
      </c>
      <c r="C4" s="19" t="n">
        <v>0.0011</v>
      </c>
      <c r="D4" s="19" t="n">
        <v>0.0019</v>
      </c>
      <c r="E4" s="19" t="n">
        <v>0.0029</v>
      </c>
      <c r="F4" s="19" t="n">
        <v>0.0039</v>
      </c>
      <c r="G4" s="19" t="n">
        <v>0.0051</v>
      </c>
      <c r="H4" s="19" t="n">
        <v>0.0065</v>
      </c>
      <c r="I4" s="19" t="n">
        <v>0.0078</v>
      </c>
      <c r="J4" s="19" t="n">
        <v>0.009</v>
      </c>
      <c r="K4" s="19" t="n">
        <v>0.0103</v>
      </c>
      <c r="L4" s="19" t="n">
        <v>0.0114</v>
      </c>
      <c r="M4" s="19" t="n">
        <v>0.0125</v>
      </c>
      <c r="N4" s="19" t="n">
        <v>0.0135</v>
      </c>
      <c r="O4" s="19" t="n">
        <v>0.0145</v>
      </c>
      <c r="P4" s="19" t="n">
        <v>0.0156</v>
      </c>
    </row>
    <row r="5" customFormat="false" ht="15" hidden="false" customHeight="true" outlineLevel="0" collapsed="false">
      <c r="A5" s="6" t="s">
        <v>8</v>
      </c>
      <c r="B5" s="19" t="n">
        <v>0.0014</v>
      </c>
      <c r="C5" s="19" t="n">
        <v>0.0038</v>
      </c>
      <c r="D5" s="19" t="n">
        <v>0.0067</v>
      </c>
      <c r="E5" s="19" t="n">
        <v>0.0101</v>
      </c>
      <c r="F5" s="19" t="n">
        <v>0.0136</v>
      </c>
      <c r="G5" s="19" t="n">
        <v>0.0171</v>
      </c>
      <c r="H5" s="19" t="n">
        <v>0.02</v>
      </c>
      <c r="I5" s="19" t="n">
        <v>0.023</v>
      </c>
      <c r="J5" s="19" t="n">
        <v>0.0258</v>
      </c>
      <c r="K5" s="19" t="n">
        <v>0.0286</v>
      </c>
      <c r="L5" s="19" t="n">
        <v>0.0313</v>
      </c>
      <c r="M5" s="19" t="n">
        <v>0.0335</v>
      </c>
      <c r="N5" s="19" t="n">
        <v>0.0356</v>
      </c>
      <c r="O5" s="19" t="n">
        <v>0.0378</v>
      </c>
      <c r="P5" s="19" t="n">
        <v>0.0401</v>
      </c>
    </row>
    <row r="6" customFormat="false" ht="15" hidden="false" customHeight="true" outlineLevel="0" collapsed="false">
      <c r="A6" s="6" t="s">
        <v>40</v>
      </c>
      <c r="B6" s="19" t="n">
        <v>0.0056</v>
      </c>
      <c r="C6" s="19" t="n">
        <v>0.0176</v>
      </c>
      <c r="D6" s="19" t="n">
        <v>0.0312</v>
      </c>
      <c r="E6" s="19" t="n">
        <v>0.0448</v>
      </c>
      <c r="F6" s="19" t="n">
        <v>0.0575</v>
      </c>
      <c r="G6" s="19" t="n">
        <v>0.0693</v>
      </c>
      <c r="H6" s="19" t="n">
        <v>0.0794</v>
      </c>
      <c r="I6" s="19" t="n">
        <v>0.0886</v>
      </c>
      <c r="J6" s="19" t="n">
        <v>0.0968</v>
      </c>
      <c r="K6" s="19" t="n">
        <v>0.1044</v>
      </c>
      <c r="L6" s="19" t="n">
        <v>0.1106</v>
      </c>
      <c r="M6" s="19" t="n">
        <v>0.1165</v>
      </c>
      <c r="N6" s="19" t="n">
        <v>0.1217</v>
      </c>
      <c r="O6" s="19" t="n">
        <v>0.126</v>
      </c>
      <c r="P6" s="19" t="n">
        <v>0.1305</v>
      </c>
    </row>
    <row r="7" customFormat="false" ht="15" hidden="false" customHeight="true" outlineLevel="0" collapsed="false">
      <c r="A7" s="6" t="s">
        <v>43</v>
      </c>
      <c r="B7" s="19" t="n">
        <v>0.0293</v>
      </c>
      <c r="C7" s="19" t="n">
        <v>0.0693</v>
      </c>
      <c r="D7" s="19" t="n">
        <v>0.1046</v>
      </c>
      <c r="E7" s="19" t="n">
        <v>0.1331</v>
      </c>
      <c r="F7" s="19" t="n">
        <v>0.156</v>
      </c>
      <c r="G7" s="19" t="n">
        <v>0.1745</v>
      </c>
      <c r="H7" s="19" t="n">
        <v>0.189</v>
      </c>
      <c r="I7" s="19" t="n">
        <v>0.2006</v>
      </c>
      <c r="J7" s="19" t="n">
        <v>0.2108</v>
      </c>
      <c r="K7" s="19" t="n">
        <v>0.2202</v>
      </c>
      <c r="L7" s="19" t="n">
        <v>0.2282</v>
      </c>
      <c r="M7" s="19" t="n">
        <v>0.2343</v>
      </c>
      <c r="N7" s="19" t="n">
        <v>0.2402</v>
      </c>
      <c r="O7" s="19" t="n">
        <v>0.2457</v>
      </c>
      <c r="P7" s="19" t="n">
        <v>0.2511</v>
      </c>
    </row>
    <row r="8" customFormat="false" ht="15" hidden="false" customHeight="true" outlineLevel="0" collapsed="false">
      <c r="A8" s="6" t="s">
        <v>45</v>
      </c>
      <c r="B8" s="19" t="n">
        <v>0.2612</v>
      </c>
      <c r="C8" s="19" t="n">
        <v>0.3592</v>
      </c>
      <c r="D8" s="19" t="n">
        <v>0.4132</v>
      </c>
      <c r="E8" s="19" t="n">
        <v>0.4435</v>
      </c>
      <c r="F8" s="19" t="n">
        <v>0.4653</v>
      </c>
      <c r="G8" s="19" t="n">
        <v>0.4757</v>
      </c>
      <c r="H8" s="19" t="n">
        <v>0.4861</v>
      </c>
      <c r="I8" s="19" t="n">
        <v>0.4929</v>
      </c>
      <c r="J8" s="19" t="n">
        <v>0.4989</v>
      </c>
      <c r="K8" s="19" t="n">
        <v>0.5043</v>
      </c>
      <c r="L8" s="19" t="n">
        <v>0.5085</v>
      </c>
      <c r="M8" s="19" t="n">
        <v>0.5132</v>
      </c>
      <c r="N8" s="19" t="n">
        <v>0.5186</v>
      </c>
      <c r="O8" s="19" t="n">
        <v>0.5226</v>
      </c>
      <c r="P8" s="19" t="n">
        <v>0.523</v>
      </c>
    </row>
    <row r="10" customFormat="false" ht="15" hidden="false" customHeight="true" outlineLevel="0" collapsed="false">
      <c r="A10" s="20" t="s">
        <v>62</v>
      </c>
    </row>
    <row r="11" customFormat="false" ht="15" hidden="false" customHeight="true" outlineLevel="0" collapsed="false">
      <c r="A11" s="2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2026-05-11T05:40:22Z</dcterms:created>
  <dc:creator>openpyxl</dc:creator>
  <dc:description/>
  <dc:language>en-US</dc:language>
  <cp:lastModifiedBy/>
  <dcterms:modified xsi:type="dcterms:W3CDTF">2026-05-11T05:40:40Z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