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s" sheetId="1" state="visible" r:id="rId3"/>
    <sheet name="Scenario_ECL" sheetId="2" state="visible" r:id="rId4"/>
    <sheet name="Sensitiv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<sst xmlns="http://schemas.openxmlformats.org/spreadsheetml/2006/main" count="134" uniqueCount="99">
  <si>
    <t xml:space="preserve">IFRS 9 ECL Engine — Phase 4: Macroeconomic Scenarios</t>
  </si>
  <si>
    <t xml:space="preserve">SCENARIO DEFINITIONS</t>
  </si>
  <si>
    <t xml:space="preserve">Parameter</t>
  </si>
  <si>
    <t xml:space="preserve">Baseline</t>
  </si>
  <si>
    <t xml:space="preserve">Adverse</t>
  </si>
  <si>
    <t xml:space="preserve">Upside</t>
  </si>
  <si>
    <t xml:space="preserve">Source</t>
  </si>
  <si>
    <t xml:space="preserve">Probability weight</t>
  </si>
  <si>
    <t xml:space="preserve">Expert judgment (ACPR expects adverse 25-35%)</t>
  </si>
  <si>
    <t xml:space="preserve">Rating notch shift</t>
  </si>
  <si>
    <t xml:space="preserve">Calibrated to S&amp;P downgrade rates in stress</t>
  </si>
  <si>
    <t xml:space="preserve">LGD override</t>
  </si>
  <si>
    <t xml:space="preserve">CRR downturn LGD uplift for adverse</t>
  </si>
  <si>
    <t xml:space="preserve">GDP growth Y1 (%)</t>
  </si>
  <si>
    <t xml:space="preserve">ECB Dec-24 / EBA 2025 adverse</t>
  </si>
  <si>
    <t xml:space="preserve">GDP growth Y2 (%)</t>
  </si>
  <si>
    <t xml:space="preserve">GDP growth Y3 (%)</t>
  </si>
  <si>
    <t xml:space="preserve">Unemployment Y1 (%)</t>
  </si>
  <si>
    <t xml:space="preserve">Unemployment Y2 (%)</t>
  </si>
  <si>
    <t xml:space="preserve">Unemployment Y3 (%)</t>
  </si>
  <si>
    <t xml:space="preserve">Equity price chg Y1 (%)</t>
  </si>
  <si>
    <t xml:space="preserve">EBA 2025 adverse: -50%</t>
  </si>
  <si>
    <t xml:space="preserve">iTraxx 5Y (bps) Y1</t>
  </si>
  <si>
    <t xml:space="preserve">EBA 2025 adverse: +169bps</t>
  </si>
  <si>
    <t xml:space="preserve">TRANSITION-BASED STRESS APPROACH</t>
  </si>
  <si>
    <t xml:space="preserve">Under each scenario, every loan's current rating is shifted by the scenario's notch_shift:</t>
  </si>
  <si>
    <t xml:space="preserve">  Adverse (+2): BBB → BB+, A- → BBB, BB → B+  (2-notch downgrade across the board)</t>
  </si>
  <si>
    <t xml:space="preserve">  Upside (-1):  BBB → BBB+, BB → BB+  (1-notch upgrade)</t>
  </si>
  <si>
    <t xml:space="preserve">  Baseline (0): no change</t>
  </si>
  <si>
    <t xml:space="preserve">The shifted rating feeds into the staging engine (Phase 3) and the PD term structure (Phase 2).</t>
  </si>
  <si>
    <t xml:space="preserve">This means adverse naturally produces: (a) more SICR triggers, (b) higher PDs, (c) more Stage 2 loans.</t>
  </si>
  <si>
    <t xml:space="preserve">Calibration: S&amp;P Table 7 shows 2009 downgrade rate was 19.1% with avg 1.7 notches per downgrade.</t>
  </si>
  <si>
    <t xml:space="preserve">A uniform 2-notch shift is consistent with a severe-but-not-catastrophic scenario.</t>
  </si>
  <si>
    <t xml:space="preserve">Probability-Weighted ECL Across Scenarios</t>
  </si>
  <si>
    <t xml:space="preserve">ECL BY SCENARIO AND STAGE</t>
  </si>
  <si>
    <t xml:space="preserve">Scenario</t>
  </si>
  <si>
    <t xml:space="preserve">Weight</t>
  </si>
  <si>
    <t xml:space="preserve">Notch Shift</t>
  </si>
  <si>
    <t xml:space="preserve">LGD</t>
  </si>
  <si>
    <t xml:space="preserve">S1 ECL</t>
  </si>
  <si>
    <t xml:space="preserve">S2 ECL</t>
  </si>
  <si>
    <t xml:space="preserve">S3 ECL</t>
  </si>
  <si>
    <t xml:space="preserve">Total ECL</t>
  </si>
  <si>
    <t xml:space="preserve">Weighted Contribution</t>
  </si>
  <si>
    <t xml:space="preserve">WEIGHTED RESULT</t>
  </si>
  <si>
    <t xml:space="preserve">Weighted ECL (Σ Wi × ECLi)</t>
  </si>
  <si>
    <t xml:space="preserve">Baseline-only ECL</t>
  </si>
  <si>
    <t xml:space="preserve">IFRS 9 overlay (weighted − baseline)</t>
  </si>
  <si>
    <t xml:space="preserve">Overlay as % of baseline</t>
  </si>
  <si>
    <t xml:space="preserve">STAGE MIGRATION UNDER STRESS</t>
  </si>
  <si>
    <t xml:space="preserve">Loan</t>
  </si>
  <si>
    <t xml:space="preserve">Orig Rating</t>
  </si>
  <si>
    <t xml:space="preserve">Current</t>
  </si>
  <si>
    <t xml:space="preserve">Adverse Rating</t>
  </si>
  <si>
    <t xml:space="preserve">Shift</t>
  </si>
  <si>
    <t xml:space="preserve">Base Stage</t>
  </si>
  <si>
    <t xml:space="preserve">Adverse Stage</t>
  </si>
  <si>
    <t xml:space="preserve">Stage Changed?</t>
  </si>
  <si>
    <t xml:space="preserve">AlphaIndustries SA</t>
  </si>
  <si>
    <t xml:space="preserve">BBB</t>
  </si>
  <si>
    <t xml:space="preserve">BB+</t>
  </si>
  <si>
    <t xml:space="preserve">+2</t>
  </si>
  <si>
    <t xml:space="preserve">S1</t>
  </si>
  <si>
    <t xml:space="preserve">S2</t>
  </si>
  <si>
    <t xml:space="preserve">YES</t>
  </si>
  <si>
    <t xml:space="preserve">BetaLogistics GmbH</t>
  </si>
  <si>
    <t xml:space="preserve">A</t>
  </si>
  <si>
    <t xml:space="preserve">A-</t>
  </si>
  <si>
    <t xml:space="preserve">GammaRetail SAS</t>
  </si>
  <si>
    <t xml:space="preserve">BB-</t>
  </si>
  <si>
    <t xml:space="preserve">B</t>
  </si>
  <si>
    <t xml:space="preserve">No</t>
  </si>
  <si>
    <t xml:space="preserve">DeltaConstruction SpA</t>
  </si>
  <si>
    <t xml:space="preserve">BB</t>
  </si>
  <si>
    <t xml:space="preserve">B+</t>
  </si>
  <si>
    <t xml:space="preserve">EpsilonEnergy BV</t>
  </si>
  <si>
    <t xml:space="preserve">BBB+</t>
  </si>
  <si>
    <t xml:space="preserve">BBB-</t>
  </si>
  <si>
    <t xml:space="preserve">ZetaServices SARL</t>
  </si>
  <si>
    <t xml:space="preserve">CCC/C</t>
  </si>
  <si>
    <t xml:space="preserve">S3</t>
  </si>
  <si>
    <t xml:space="preserve">EtaHoldings AG</t>
  </si>
  <si>
    <t xml:space="preserve">B-</t>
  </si>
  <si>
    <t xml:space="preserve">Key insight: Under adverse, AlphaIndustries and BetaLogistics migrate from S1 to S2.</t>
  </si>
  <si>
    <t xml:space="preserve">This migration alone drives the majority of the IFRS 9 overlay, because their ECL jumps from 12-month to lifetime.</t>
  </si>
  <si>
    <t xml:space="preserve">Sensitivity: Weighted ECL vs Adverse Scenario Probability</t>
  </si>
  <si>
    <t xml:space="preserve">ADVERSE PROBABILITY SENSITIVITY</t>
  </si>
  <si>
    <t xml:space="preserve">P(Adverse)</t>
  </si>
  <si>
    <t xml:space="preserve">P(Baseline)</t>
  </si>
  <si>
    <t xml:space="preserve">P(Upside)</t>
  </si>
  <si>
    <t xml:space="preserve">Weighted ECL (€)</t>
  </si>
  <si>
    <t xml:space="preserve">Overlay (€)</t>
  </si>
  <si>
    <t xml:space="preserve">Overlay %</t>
  </si>
  <si>
    <t xml:space="preserve">ECL range</t>
  </si>
  <si>
    <t xml:space="preserve">Spread (max − min)</t>
  </si>
  <si>
    <t xml:space="preserve">Variation (%)</t>
  </si>
  <si>
    <t xml:space="preserve">This 71% variation from scenario weights alone is the model risk that</t>
  </si>
  <si>
    <t xml:space="preserve">European supervisors (ACPR, ECB SSM) scrutinise most intensely in IFRS 9 reviews.</t>
  </si>
  <si>
    <t xml:space="preserve">Being able to quantify this sensitivity is a strong signal in a credit risk interview.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</si>
</sst>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.0"/>
    <numFmt numFmtId="167" formatCode="\€#,##0"/>
    <numFmt numFmtId="168" formatCode="0.0%"/>
    <numFmt numFmtId="169" formatCode="\+0.0%;\-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548235"/>
        <bgColor rgb="FF666666"/>
      </patternFill>
    </fill>
    <fill>
      <patternFill patternType="solid">
        <fgColor rgb="FF4472C4"/>
        <bgColor rgb="FF666666"/>
      </patternFill>
    </fill>
    <fill>
      <patternFill patternType="solid">
        <fgColor rgb="FFE2EFDA"/>
        <bgColor rgb="FFFCE4D6"/>
      </patternFill>
    </fill>
    <fill>
      <patternFill patternType="solid">
        <fgColor rgb="FFFDE0D0"/>
        <bgColor rgb="FFFCE4D6"/>
      </patternFill>
    </fill>
    <fill>
      <patternFill patternType="solid">
        <fgColor rgb="FF333333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DE0D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DE0D0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v>0.5</v>
      </c>
      <c r="C5" s="6" t="n">
        <v>0.3</v>
      </c>
      <c r="D5" s="6" t="n">
        <v>0.2</v>
      </c>
      <c r="E5" s="7" t="s">
        <v>8</v>
      </c>
    </row>
    <row r="6" customFormat="false" ht="15" hidden="false" customHeight="false" outlineLevel="0" collapsed="false">
      <c r="A6" s="5" t="s">
        <v>9</v>
      </c>
      <c r="B6" s="8" t="n">
        <v>0</v>
      </c>
      <c r="C6" s="8" t="n">
        <v>2</v>
      </c>
      <c r="D6" s="8" t="n">
        <v>-1</v>
      </c>
      <c r="E6" s="7" t="s">
        <v>10</v>
      </c>
    </row>
    <row r="7" customFormat="false" ht="15" hidden="false" customHeight="false" outlineLevel="0" collapsed="false">
      <c r="A7" s="5" t="s">
        <v>11</v>
      </c>
      <c r="B7" s="6" t="n">
        <v>0.45</v>
      </c>
      <c r="C7" s="6" t="n">
        <v>0.55</v>
      </c>
      <c r="D7" s="6" t="n">
        <v>0.4</v>
      </c>
      <c r="E7" s="7" t="s">
        <v>12</v>
      </c>
    </row>
    <row r="8" customFormat="false" ht="15" hidden="false" customHeight="false" outlineLevel="0" collapsed="false">
      <c r="A8" s="5" t="s">
        <v>13</v>
      </c>
      <c r="B8" s="9" t="n">
        <v>1.3</v>
      </c>
      <c r="C8" s="9" t="n">
        <v>-1.8</v>
      </c>
      <c r="D8" s="9" t="n">
        <v>2.5</v>
      </c>
      <c r="E8" s="7" t="s">
        <v>14</v>
      </c>
    </row>
    <row r="9" customFormat="false" ht="15" hidden="false" customHeight="false" outlineLevel="0" collapsed="false">
      <c r="A9" s="5" t="s">
        <v>15</v>
      </c>
      <c r="B9" s="9" t="n">
        <v>1.6</v>
      </c>
      <c r="C9" s="9" t="n">
        <v>-4.3</v>
      </c>
      <c r="D9" s="9" t="n">
        <v>3</v>
      </c>
      <c r="E9" s="7"/>
    </row>
    <row r="10" customFormat="false" ht="15" hidden="false" customHeight="false" outlineLevel="0" collapsed="false">
      <c r="A10" s="5" t="s">
        <v>16</v>
      </c>
      <c r="B10" s="9" t="n">
        <v>1.6</v>
      </c>
      <c r="C10" s="9" t="n">
        <v>-0.2</v>
      </c>
      <c r="D10" s="9" t="n">
        <v>2.8</v>
      </c>
      <c r="E10" s="7"/>
    </row>
    <row r="11" customFormat="false" ht="15" hidden="false" customHeight="false" outlineLevel="0" collapsed="false">
      <c r="A11" s="5" t="s">
        <v>17</v>
      </c>
      <c r="B11" s="9" t="n">
        <v>6.4</v>
      </c>
      <c r="C11" s="9" t="n">
        <v>8.5</v>
      </c>
      <c r="D11" s="9" t="n">
        <v>5.8</v>
      </c>
      <c r="E11" s="7" t="s">
        <v>14</v>
      </c>
    </row>
    <row r="12" customFormat="false" ht="15" hidden="false" customHeight="false" outlineLevel="0" collapsed="false">
      <c r="A12" s="5" t="s">
        <v>18</v>
      </c>
      <c r="B12" s="9" t="n">
        <v>6.2</v>
      </c>
      <c r="C12" s="9" t="n">
        <v>10.5</v>
      </c>
      <c r="D12" s="9" t="n">
        <v>5.3</v>
      </c>
      <c r="E12" s="7"/>
    </row>
    <row r="13" customFormat="false" ht="15" hidden="false" customHeight="false" outlineLevel="0" collapsed="false">
      <c r="A13" s="5" t="s">
        <v>19</v>
      </c>
      <c r="B13" s="9" t="n">
        <v>6</v>
      </c>
      <c r="C13" s="9" t="n">
        <v>12.1</v>
      </c>
      <c r="D13" s="9" t="n">
        <v>5</v>
      </c>
      <c r="E13" s="7"/>
    </row>
    <row r="14" customFormat="false" ht="15" hidden="false" customHeight="false" outlineLevel="0" collapsed="false">
      <c r="A14" s="5" t="s">
        <v>20</v>
      </c>
      <c r="B14" s="9" t="n">
        <v>5</v>
      </c>
      <c r="C14" s="9" t="n">
        <v>-50</v>
      </c>
      <c r="D14" s="9" t="n">
        <v>12</v>
      </c>
      <c r="E14" s="7" t="s">
        <v>21</v>
      </c>
    </row>
    <row r="15" customFormat="false" ht="15" hidden="false" customHeight="false" outlineLevel="0" collapsed="false">
      <c r="A15" s="5" t="s">
        <v>22</v>
      </c>
      <c r="B15" s="8" t="n">
        <v>60</v>
      </c>
      <c r="C15" s="8" t="n">
        <v>229</v>
      </c>
      <c r="D15" s="8" t="n">
        <v>40</v>
      </c>
      <c r="E15" s="7" t="s">
        <v>23</v>
      </c>
    </row>
    <row r="17" customFormat="false" ht="15" hidden="false" customHeight="false" outlineLevel="0" collapsed="false">
      <c r="A17" s="4" t="s">
        <v>24</v>
      </c>
      <c r="B17" s="10"/>
      <c r="C17" s="10"/>
      <c r="D17" s="10"/>
      <c r="E17" s="10"/>
    </row>
    <row r="18" customFormat="false" ht="15" hidden="false" customHeight="false" outlineLevel="0" collapsed="false">
      <c r="A18" s="7" t="s">
        <v>25</v>
      </c>
    </row>
    <row r="19" customFormat="false" ht="15" hidden="false" customHeight="false" outlineLevel="0" collapsed="false">
      <c r="A19" s="7" t="s">
        <v>26</v>
      </c>
    </row>
    <row r="20" customFormat="false" ht="15" hidden="false" customHeight="false" outlineLevel="0" collapsed="false">
      <c r="A20" s="7" t="s">
        <v>27</v>
      </c>
    </row>
    <row r="21" customFormat="false" ht="15" hidden="false" customHeight="false" outlineLevel="0" collapsed="false">
      <c r="A21" s="7" t="s">
        <v>28</v>
      </c>
    </row>
    <row r="22" customFormat="false" ht="15" hidden="false" customHeight="false" outlineLevel="0" collapsed="false">
      <c r="A22" s="7"/>
    </row>
    <row r="23" customFormat="false" ht="15" hidden="false" customHeight="false" outlineLevel="0" collapsed="false">
      <c r="A23" s="7" t="s">
        <v>29</v>
      </c>
    </row>
    <row r="24" customFormat="false" ht="15" hidden="false" customHeight="false" outlineLevel="0" collapsed="false">
      <c r="A24" s="7" t="s">
        <v>30</v>
      </c>
    </row>
    <row r="25" customFormat="false" ht="15" hidden="false" customHeight="false" outlineLevel="0" collapsed="false">
      <c r="A25" s="7"/>
    </row>
    <row r="26" customFormat="false" ht="15" hidden="false" customHeight="false" outlineLevel="0" collapsed="false">
      <c r="A26" s="7" t="s">
        <v>31</v>
      </c>
    </row>
    <row r="27" customFormat="false" ht="15" hidden="false" customHeight="false" outlineLevel="0" collapsed="false">
      <c r="A27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8" min="5" style="0" width="14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33</v>
      </c>
    </row>
    <row r="3" customFormat="false" ht="15" hidden="false" customHeight="false" outlineLevel="0" collapsed="false">
      <c r="A3" s="2" t="s">
        <v>34</v>
      </c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</row>
    <row r="5" customFormat="false" ht="15" hidden="false" customHeight="false" outlineLevel="0" collapsed="false">
      <c r="A5" s="11" t="s">
        <v>3</v>
      </c>
      <c r="B5" s="12" t="n">
        <v>0.5</v>
      </c>
      <c r="C5" s="5" t="n">
        <v>0</v>
      </c>
      <c r="D5" s="12" t="n">
        <v>0.45</v>
      </c>
      <c r="E5" s="13" t="n">
        <v>828</v>
      </c>
      <c r="F5" s="13" t="n">
        <v>94874</v>
      </c>
      <c r="G5" s="13" t="n">
        <v>363090</v>
      </c>
      <c r="H5" s="13" t="n">
        <v>458792</v>
      </c>
      <c r="I5" s="14" t="n">
        <f aca="false">B5*H5</f>
        <v>229396</v>
      </c>
    </row>
    <row r="6" customFormat="false" ht="15" hidden="false" customHeight="false" outlineLevel="0" collapsed="false">
      <c r="A6" s="15" t="s">
        <v>4</v>
      </c>
      <c r="B6" s="12" t="n">
        <v>0.3</v>
      </c>
      <c r="C6" s="5" t="n">
        <v>2</v>
      </c>
      <c r="D6" s="12" t="n">
        <v>0.55</v>
      </c>
      <c r="E6" s="13" t="n">
        <v>0</v>
      </c>
      <c r="F6" s="13" t="n">
        <v>480834</v>
      </c>
      <c r="G6" s="13" t="n">
        <v>895583</v>
      </c>
      <c r="H6" s="13" t="n">
        <v>1376417</v>
      </c>
      <c r="I6" s="14" t="n">
        <f aca="false">B6*H6</f>
        <v>412925.1</v>
      </c>
    </row>
    <row r="7" customFormat="false" ht="15" hidden="false" customHeight="false" outlineLevel="0" collapsed="false">
      <c r="A7" s="11" t="s">
        <v>5</v>
      </c>
      <c r="B7" s="12" t="n">
        <v>0.2</v>
      </c>
      <c r="C7" s="5" t="n">
        <v>-1</v>
      </c>
      <c r="D7" s="12" t="n">
        <v>0.4</v>
      </c>
      <c r="E7" s="13" t="n">
        <v>736</v>
      </c>
      <c r="F7" s="13" t="n">
        <v>84333</v>
      </c>
      <c r="G7" s="13" t="n">
        <v>199148</v>
      </c>
      <c r="H7" s="13" t="n">
        <v>284217</v>
      </c>
      <c r="I7" s="14" t="n">
        <f aca="false">B7*H7</f>
        <v>56843.4</v>
      </c>
    </row>
    <row r="8" customFormat="false" ht="15" hidden="false" customHeight="false" outlineLevel="0" collapsed="false">
      <c r="A8" s="16" t="s">
        <v>44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18" t="s">
        <v>45</v>
      </c>
      <c r="I9" s="19" t="n">
        <f aca="false">SUM(I5:I7)</f>
        <v>699164.5</v>
      </c>
    </row>
    <row r="10" customFormat="false" ht="15" hidden="false" customHeight="false" outlineLevel="0" collapsed="false">
      <c r="A10" s="5" t="s">
        <v>46</v>
      </c>
      <c r="I10" s="13" t="n">
        <f aca="false">H5</f>
        <v>458792</v>
      </c>
    </row>
    <row r="11" customFormat="false" ht="15" hidden="false" customHeight="false" outlineLevel="0" collapsed="false">
      <c r="A11" s="18" t="s">
        <v>47</v>
      </c>
      <c r="I11" s="20" t="n">
        <f aca="false">I9-I10</f>
        <v>240372.5</v>
      </c>
    </row>
    <row r="12" customFormat="false" ht="15" hidden="false" customHeight="false" outlineLevel="0" collapsed="false">
      <c r="A12" s="5" t="s">
        <v>48</v>
      </c>
      <c r="I12" s="21" t="n">
        <f aca="false">I11/I10</f>
        <v>0.523924785087796</v>
      </c>
    </row>
    <row r="14" customFormat="false" ht="15" hidden="false" customHeight="false" outlineLevel="0" collapsed="false">
      <c r="A14" s="4" t="s">
        <v>49</v>
      </c>
      <c r="B14" s="10"/>
      <c r="C14" s="10"/>
      <c r="D14" s="10"/>
      <c r="E14" s="10"/>
      <c r="F14" s="10"/>
      <c r="G14" s="10"/>
      <c r="H14" s="10"/>
      <c r="I14" s="10"/>
    </row>
    <row r="15" customFormat="false" ht="15" hidden="false" customHeight="false" outlineLevel="0" collapsed="false">
      <c r="A15" s="4" t="s">
        <v>50</v>
      </c>
      <c r="B15" s="4" t="s">
        <v>51</v>
      </c>
      <c r="C15" s="4" t="s">
        <v>52</v>
      </c>
      <c r="D15" s="4" t="s">
        <v>53</v>
      </c>
      <c r="E15" s="4" t="s">
        <v>54</v>
      </c>
      <c r="F15" s="4" t="s">
        <v>55</v>
      </c>
      <c r="G15" s="4" t="s">
        <v>56</v>
      </c>
      <c r="H15" s="4" t="s">
        <v>57</v>
      </c>
    </row>
    <row r="16" customFormat="false" ht="15" hidden="false" customHeight="false" outlineLevel="0" collapsed="false">
      <c r="A16" s="5" t="s">
        <v>58</v>
      </c>
      <c r="B16" s="5" t="s">
        <v>59</v>
      </c>
      <c r="C16" s="5" t="s">
        <v>59</v>
      </c>
      <c r="D16" s="5" t="s">
        <v>60</v>
      </c>
      <c r="E16" s="5" t="s">
        <v>61</v>
      </c>
      <c r="F16" s="5" t="s">
        <v>62</v>
      </c>
      <c r="G16" s="22" t="s">
        <v>63</v>
      </c>
      <c r="H16" s="22" t="s">
        <v>64</v>
      </c>
    </row>
    <row r="17" customFormat="false" ht="15" hidden="false" customHeight="false" outlineLevel="0" collapsed="false">
      <c r="A17" s="5" t="s">
        <v>65</v>
      </c>
      <c r="B17" s="5" t="s">
        <v>66</v>
      </c>
      <c r="C17" s="5" t="s">
        <v>67</v>
      </c>
      <c r="D17" s="5" t="s">
        <v>59</v>
      </c>
      <c r="E17" s="5" t="s">
        <v>61</v>
      </c>
      <c r="F17" s="5" t="s">
        <v>62</v>
      </c>
      <c r="G17" s="22" t="s">
        <v>63</v>
      </c>
      <c r="H17" s="22" t="s">
        <v>64</v>
      </c>
    </row>
    <row r="18" customFormat="false" ht="15" hidden="false" customHeight="false" outlineLevel="0" collapsed="false">
      <c r="A18" s="5" t="s">
        <v>68</v>
      </c>
      <c r="B18" s="5" t="s">
        <v>59</v>
      </c>
      <c r="C18" s="5" t="s">
        <v>69</v>
      </c>
      <c r="D18" s="5" t="s">
        <v>70</v>
      </c>
      <c r="E18" s="5" t="s">
        <v>61</v>
      </c>
      <c r="F18" s="5" t="s">
        <v>63</v>
      </c>
      <c r="G18" s="5" t="s">
        <v>63</v>
      </c>
      <c r="H18" s="5" t="s">
        <v>71</v>
      </c>
    </row>
    <row r="19" customFormat="false" ht="15" hidden="false" customHeight="false" outlineLevel="0" collapsed="false">
      <c r="A19" s="5" t="s">
        <v>72</v>
      </c>
      <c r="B19" s="5" t="s">
        <v>73</v>
      </c>
      <c r="C19" s="5" t="s">
        <v>73</v>
      </c>
      <c r="D19" s="5" t="s">
        <v>74</v>
      </c>
      <c r="E19" s="5" t="s">
        <v>61</v>
      </c>
      <c r="F19" s="5" t="s">
        <v>63</v>
      </c>
      <c r="G19" s="5" t="s">
        <v>63</v>
      </c>
      <c r="H19" s="5" t="s">
        <v>71</v>
      </c>
    </row>
    <row r="20" customFormat="false" ht="15" hidden="false" customHeight="false" outlineLevel="0" collapsed="false">
      <c r="A20" s="5" t="s">
        <v>75</v>
      </c>
      <c r="B20" s="5" t="s">
        <v>76</v>
      </c>
      <c r="C20" s="5" t="s">
        <v>77</v>
      </c>
      <c r="D20" s="5" t="s">
        <v>73</v>
      </c>
      <c r="E20" s="5" t="s">
        <v>61</v>
      </c>
      <c r="F20" s="5" t="s">
        <v>63</v>
      </c>
      <c r="G20" s="5" t="s">
        <v>63</v>
      </c>
      <c r="H20" s="5" t="s">
        <v>71</v>
      </c>
    </row>
    <row r="21" customFormat="false" ht="15" hidden="false" customHeight="false" outlineLevel="0" collapsed="false">
      <c r="A21" s="5" t="s">
        <v>78</v>
      </c>
      <c r="B21" s="5" t="s">
        <v>73</v>
      </c>
      <c r="C21" s="5" t="s">
        <v>79</v>
      </c>
      <c r="D21" s="5" t="s">
        <v>79</v>
      </c>
      <c r="E21" s="5" t="s">
        <v>61</v>
      </c>
      <c r="F21" s="5" t="s">
        <v>80</v>
      </c>
      <c r="G21" s="5" t="s">
        <v>80</v>
      </c>
      <c r="H21" s="5" t="s">
        <v>71</v>
      </c>
    </row>
    <row r="22" customFormat="false" ht="15" hidden="false" customHeight="false" outlineLevel="0" collapsed="false">
      <c r="A22" s="5" t="s">
        <v>81</v>
      </c>
      <c r="B22" s="5" t="s">
        <v>60</v>
      </c>
      <c r="C22" s="5" t="s">
        <v>82</v>
      </c>
      <c r="D22" s="5" t="s">
        <v>79</v>
      </c>
      <c r="E22" s="5" t="s">
        <v>61</v>
      </c>
      <c r="F22" s="5" t="s">
        <v>80</v>
      </c>
      <c r="G22" s="5" t="s">
        <v>80</v>
      </c>
      <c r="H22" s="5" t="s">
        <v>71</v>
      </c>
    </row>
    <row r="24" customFormat="false" ht="15" hidden="false" customHeight="false" outlineLevel="0" collapsed="false">
      <c r="A24" s="7" t="s">
        <v>83</v>
      </c>
    </row>
    <row r="25" customFormat="false" ht="15" hidden="false" customHeight="false" outlineLevel="0" collapsed="false">
      <c r="A25" s="7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85</v>
      </c>
    </row>
    <row r="3" customFormat="false" ht="15" hidden="false" customHeight="false" outlineLevel="0" collapsed="false">
      <c r="A3" s="2" t="s">
        <v>86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87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</row>
    <row r="5" customFormat="false" ht="15" hidden="false" customHeight="false" outlineLevel="0" collapsed="false">
      <c r="A5" s="12" t="n">
        <v>0.1</v>
      </c>
      <c r="B5" s="12" t="n">
        <v>0.7</v>
      </c>
      <c r="C5" s="12" t="n">
        <v>0.2</v>
      </c>
      <c r="D5" s="13" t="n">
        <v>515639</v>
      </c>
      <c r="E5" s="13" t="n">
        <v>56847</v>
      </c>
      <c r="F5" s="23" t="n">
        <v>0.124</v>
      </c>
    </row>
    <row r="6" customFormat="false" ht="15" hidden="false" customHeight="false" outlineLevel="0" collapsed="false">
      <c r="A6" s="12" t="n">
        <v>0.15</v>
      </c>
      <c r="B6" s="12" t="n">
        <v>0.65</v>
      </c>
      <c r="C6" s="12" t="n">
        <v>0.2</v>
      </c>
      <c r="D6" s="13" t="n">
        <v>561521</v>
      </c>
      <c r="E6" s="13" t="n">
        <v>102729</v>
      </c>
      <c r="F6" s="23" t="n">
        <v>0.224</v>
      </c>
    </row>
    <row r="7" customFormat="false" ht="15" hidden="false" customHeight="false" outlineLevel="0" collapsed="false">
      <c r="A7" s="12" t="n">
        <v>0.2</v>
      </c>
      <c r="B7" s="12" t="n">
        <v>0.6</v>
      </c>
      <c r="C7" s="12" t="n">
        <v>0.2</v>
      </c>
      <c r="D7" s="13" t="n">
        <v>607402</v>
      </c>
      <c r="E7" s="13" t="n">
        <v>148610</v>
      </c>
      <c r="F7" s="23" t="n">
        <v>0.324</v>
      </c>
    </row>
    <row r="8" customFormat="false" ht="15" hidden="false" customHeight="false" outlineLevel="0" collapsed="false">
      <c r="A8" s="12" t="n">
        <v>0.25</v>
      </c>
      <c r="B8" s="12" t="n">
        <v>0.55</v>
      </c>
      <c r="C8" s="12" t="n">
        <v>0.2</v>
      </c>
      <c r="D8" s="13" t="n">
        <v>653283</v>
      </c>
      <c r="E8" s="13" t="n">
        <v>194491</v>
      </c>
      <c r="F8" s="23" t="n">
        <v>0.424</v>
      </c>
    </row>
    <row r="9" customFormat="false" ht="15" hidden="false" customHeight="false" outlineLevel="0" collapsed="false">
      <c r="A9" s="24" t="n">
        <v>0.3</v>
      </c>
      <c r="B9" s="24" t="n">
        <v>0.5</v>
      </c>
      <c r="C9" s="24" t="n">
        <v>0.2</v>
      </c>
      <c r="D9" s="25" t="n">
        <v>699164</v>
      </c>
      <c r="E9" s="25" t="n">
        <v>240372</v>
      </c>
      <c r="F9" s="26" t="n">
        <v>0.524</v>
      </c>
    </row>
    <row r="10" customFormat="false" ht="15" hidden="false" customHeight="false" outlineLevel="0" collapsed="false">
      <c r="A10" s="12" t="n">
        <v>0.35</v>
      </c>
      <c r="B10" s="12" t="n">
        <v>0.45</v>
      </c>
      <c r="C10" s="12" t="n">
        <v>0.2</v>
      </c>
      <c r="D10" s="13" t="n">
        <v>745046</v>
      </c>
      <c r="E10" s="13" t="n">
        <v>286254</v>
      </c>
      <c r="F10" s="23" t="n">
        <v>0.624</v>
      </c>
    </row>
    <row r="11" customFormat="false" ht="15" hidden="false" customHeight="false" outlineLevel="0" collapsed="false">
      <c r="A11" s="12" t="n">
        <v>0.4</v>
      </c>
      <c r="B11" s="12" t="n">
        <v>0.4</v>
      </c>
      <c r="C11" s="12" t="n">
        <v>0.2</v>
      </c>
      <c r="D11" s="13" t="n">
        <v>790927</v>
      </c>
      <c r="E11" s="13" t="n">
        <v>332135</v>
      </c>
      <c r="F11" s="23" t="n">
        <v>0.724</v>
      </c>
    </row>
    <row r="12" customFormat="false" ht="15" hidden="false" customHeight="false" outlineLevel="0" collapsed="false">
      <c r="A12" s="12" t="n">
        <v>0.45</v>
      </c>
      <c r="B12" s="12" t="n">
        <v>0.35</v>
      </c>
      <c r="C12" s="12" t="n">
        <v>0.2</v>
      </c>
      <c r="D12" s="13" t="n">
        <v>836808</v>
      </c>
      <c r="E12" s="13" t="n">
        <v>378016</v>
      </c>
      <c r="F12" s="23" t="n">
        <v>0.824</v>
      </c>
    </row>
    <row r="13" customFormat="false" ht="15" hidden="false" customHeight="false" outlineLevel="0" collapsed="false">
      <c r="A13" s="12" t="n">
        <v>0.5</v>
      </c>
      <c r="B13" s="12" t="n">
        <v>0.3</v>
      </c>
      <c r="C13" s="12" t="n">
        <v>0.2</v>
      </c>
      <c r="D13" s="13" t="n">
        <v>882689</v>
      </c>
      <c r="E13" s="13" t="n">
        <v>423898</v>
      </c>
      <c r="F13" s="23" t="n">
        <v>0.924</v>
      </c>
    </row>
    <row r="15" customFormat="false" ht="15" hidden="false" customHeight="false" outlineLevel="0" collapsed="false">
      <c r="A15" s="18" t="s">
        <v>93</v>
      </c>
      <c r="D15" s="18" t="str">
        <f aca="false">TEXT(MIN(D5:D13),"€#,##0") &amp; "  →  " &amp; TEXT(MAX(D5:D13),"€#,##0")</f>
        <v>€515,639  →  €882,689</v>
      </c>
    </row>
    <row r="16" customFormat="false" ht="15" hidden="false" customHeight="false" outlineLevel="0" collapsed="false">
      <c r="A16" s="18" t="s">
        <v>94</v>
      </c>
      <c r="D16" s="20" t="n">
        <f aca="false">MAX(D5:D13)-MIN(D5:D13)</f>
        <v>367050</v>
      </c>
    </row>
    <row r="17" customFormat="false" ht="15" hidden="false" customHeight="false" outlineLevel="0" collapsed="false">
      <c r="A17" s="18" t="s">
        <v>95</v>
      </c>
      <c r="D17" s="27" t="n">
        <f aca="false">(MAX(D5:D13)-MIN(D5:D13))/MIN(D5:D13)</f>
        <v>0.711835218049837</v>
      </c>
    </row>
    <row r="19" customFormat="false" ht="15" hidden="false" customHeight="false" outlineLevel="0" collapsed="false">
      <c r="A19" s="7" t="s">
        <v>96</v>
      </c>
    </row>
    <row r="20" customFormat="false" ht="15" hidden="false" customHeight="false" outlineLevel="0" collapsed="false">
      <c r="A20" s="7" t="s">
        <v>97</v>
      </c>
    </row>
    <row r="21" customFormat="false" ht="15" hidden="false" customHeight="false" outlineLevel="0" collapsed="false">
      <c r="A21" s="7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2026-05-11T10:49:24Z</dcterms:created>
  <dc:creator>openpyxl</dc:creator>
  <dc:description/>
  <dc:language>en-US</dc:language>
  <cp:lastModifiedBy/>
  <dcterms:modified xsi:type="dcterms:W3CDTF">2026-05-11T10:49:24Z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